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4FF20F-1D5C-4674-A04E-B32017AB029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ubric" sheetId="1" r:id="rId1"/>
    <sheet name="Results" sheetId="2" state="hidden" r:id="rId2"/>
    <sheet name="Time &amp; Penalties" sheetId="3" state="hidden" r:id="rId3"/>
    <sheet name="Judge 1" sheetId="4" state="hidden" r:id="rId4"/>
    <sheet name="Judge 2" sheetId="5" state="hidden" r:id="rId5"/>
    <sheet name="Judge 3" sheetId="6" state="hidden" r:id="rId6"/>
  </sheets>
  <calcPr calcId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6" l="1"/>
  <c r="C24" i="6"/>
  <c r="B24" i="6"/>
  <c r="A24" i="6"/>
  <c r="J23" i="6"/>
  <c r="C23" i="6"/>
  <c r="B23" i="6"/>
  <c r="A23" i="6"/>
  <c r="J22" i="6"/>
  <c r="C22" i="6"/>
  <c r="B22" i="6"/>
  <c r="A22" i="6"/>
  <c r="J21" i="6"/>
  <c r="G21" i="2" s="1"/>
  <c r="C21" i="6"/>
  <c r="B21" i="6"/>
  <c r="A21" i="6"/>
  <c r="J20" i="6"/>
  <c r="C20" i="6"/>
  <c r="B20" i="6"/>
  <c r="A20" i="6"/>
  <c r="J19" i="6"/>
  <c r="C19" i="6"/>
  <c r="B19" i="6"/>
  <c r="A19" i="6"/>
  <c r="J18" i="6"/>
  <c r="C18" i="6"/>
  <c r="B18" i="6"/>
  <c r="A18" i="6"/>
  <c r="J17" i="6"/>
  <c r="C17" i="6"/>
  <c r="B17" i="6"/>
  <c r="A17" i="6"/>
  <c r="J16" i="6"/>
  <c r="C16" i="6"/>
  <c r="B16" i="6"/>
  <c r="A16" i="6"/>
  <c r="J15" i="6"/>
  <c r="C15" i="6"/>
  <c r="B15" i="6"/>
  <c r="A15" i="6"/>
  <c r="J14" i="6"/>
  <c r="G14" i="2" s="1"/>
  <c r="C14" i="6"/>
  <c r="B14" i="6"/>
  <c r="A14" i="6"/>
  <c r="J13" i="6"/>
  <c r="C13" i="6"/>
  <c r="B13" i="6"/>
  <c r="A13" i="6"/>
  <c r="J12" i="6"/>
  <c r="C12" i="6"/>
  <c r="B12" i="6"/>
  <c r="A12" i="6"/>
  <c r="J11" i="6"/>
  <c r="G11" i="2" s="1"/>
  <c r="C11" i="6"/>
  <c r="B11" i="6"/>
  <c r="A11" i="6"/>
  <c r="J10" i="6"/>
  <c r="G10" i="2" s="1"/>
  <c r="C10" i="6"/>
  <c r="B10" i="6"/>
  <c r="A10" i="6"/>
  <c r="J9" i="6"/>
  <c r="G9" i="2" s="1"/>
  <c r="C9" i="6"/>
  <c r="B9" i="6"/>
  <c r="A9" i="6"/>
  <c r="J8" i="6"/>
  <c r="C8" i="6"/>
  <c r="B8" i="6"/>
  <c r="A8" i="6"/>
  <c r="J7" i="6"/>
  <c r="G7" i="2" s="1"/>
  <c r="C7" i="6"/>
  <c r="B7" i="6"/>
  <c r="A7" i="6"/>
  <c r="J6" i="6"/>
  <c r="G6" i="2" s="1"/>
  <c r="C6" i="6"/>
  <c r="B6" i="6"/>
  <c r="A6" i="6"/>
  <c r="J5" i="6"/>
  <c r="G5" i="2" s="1"/>
  <c r="C5" i="6"/>
  <c r="B5" i="6"/>
  <c r="A5" i="6"/>
  <c r="J24" i="5"/>
  <c r="C24" i="5"/>
  <c r="B24" i="5"/>
  <c r="A24" i="5"/>
  <c r="J23" i="5"/>
  <c r="C23" i="5"/>
  <c r="B23" i="5"/>
  <c r="A23" i="5"/>
  <c r="J22" i="5"/>
  <c r="C22" i="5"/>
  <c r="B22" i="5"/>
  <c r="A22" i="5"/>
  <c r="J21" i="5"/>
  <c r="F21" i="2" s="1"/>
  <c r="C21" i="5"/>
  <c r="B21" i="5"/>
  <c r="A21" i="5"/>
  <c r="J20" i="5"/>
  <c r="C20" i="5"/>
  <c r="B20" i="5"/>
  <c r="A20" i="5"/>
  <c r="J19" i="5"/>
  <c r="C19" i="5"/>
  <c r="B19" i="5"/>
  <c r="A19" i="5"/>
  <c r="J18" i="5"/>
  <c r="C18" i="5"/>
  <c r="B18" i="5"/>
  <c r="A18" i="5"/>
  <c r="J17" i="5"/>
  <c r="C17" i="5"/>
  <c r="B17" i="5"/>
  <c r="A17" i="5"/>
  <c r="J16" i="5"/>
  <c r="C16" i="5"/>
  <c r="B16" i="5"/>
  <c r="A16" i="5"/>
  <c r="J15" i="5"/>
  <c r="C15" i="5"/>
  <c r="B15" i="5"/>
  <c r="A15" i="5"/>
  <c r="J14" i="5"/>
  <c r="F14" i="2" s="1"/>
  <c r="C14" i="5"/>
  <c r="B14" i="5"/>
  <c r="A14" i="5"/>
  <c r="J13" i="5"/>
  <c r="C13" i="5"/>
  <c r="B13" i="5"/>
  <c r="A13" i="5"/>
  <c r="J12" i="5"/>
  <c r="C12" i="5"/>
  <c r="B12" i="5"/>
  <c r="A12" i="5"/>
  <c r="J11" i="5"/>
  <c r="F11" i="2" s="1"/>
  <c r="C11" i="5"/>
  <c r="B11" i="5"/>
  <c r="A11" i="5"/>
  <c r="J10" i="5"/>
  <c r="F10" i="2" s="1"/>
  <c r="C10" i="5"/>
  <c r="B10" i="5"/>
  <c r="A10" i="5"/>
  <c r="J9" i="5"/>
  <c r="F9" i="2" s="1"/>
  <c r="C9" i="5"/>
  <c r="B9" i="5"/>
  <c r="A9" i="5"/>
  <c r="J8" i="5"/>
  <c r="F8" i="2" s="1"/>
  <c r="C8" i="5"/>
  <c r="B8" i="5"/>
  <c r="A8" i="5"/>
  <c r="J7" i="5"/>
  <c r="F7" i="2" s="1"/>
  <c r="C7" i="5"/>
  <c r="B7" i="5"/>
  <c r="A7" i="5"/>
  <c r="J6" i="5"/>
  <c r="F6" i="2" s="1"/>
  <c r="C6" i="5"/>
  <c r="B6" i="5"/>
  <c r="A6" i="5"/>
  <c r="J5" i="5"/>
  <c r="F5" i="2" s="1"/>
  <c r="C5" i="5"/>
  <c r="B5" i="5"/>
  <c r="A5" i="5"/>
  <c r="J24" i="4"/>
  <c r="C24" i="4"/>
  <c r="B24" i="4"/>
  <c r="A24" i="4"/>
  <c r="J23" i="4"/>
  <c r="C23" i="4"/>
  <c r="B23" i="4"/>
  <c r="A23" i="4"/>
  <c r="J22" i="4"/>
  <c r="C22" i="4"/>
  <c r="B22" i="4"/>
  <c r="A22" i="4"/>
  <c r="J21" i="4"/>
  <c r="E21" i="2" s="1"/>
  <c r="C21" i="4"/>
  <c r="B21" i="4"/>
  <c r="A21" i="4"/>
  <c r="J20" i="4"/>
  <c r="E20" i="2" s="1"/>
  <c r="H20" i="2" s="1"/>
  <c r="J20" i="2" s="1"/>
  <c r="N20" i="2" s="1"/>
  <c r="M20" i="2" s="1"/>
  <c r="C20" i="4"/>
  <c r="B20" i="4"/>
  <c r="A20" i="4"/>
  <c r="J19" i="4"/>
  <c r="E19" i="2" s="1"/>
  <c r="H19" i="2" s="1"/>
  <c r="J19" i="2" s="1"/>
  <c r="N19" i="2" s="1"/>
  <c r="M19" i="2" s="1"/>
  <c r="C19" i="4"/>
  <c r="B19" i="4"/>
  <c r="A19" i="4"/>
  <c r="J18" i="4"/>
  <c r="E18" i="2" s="1"/>
  <c r="H18" i="2" s="1"/>
  <c r="J18" i="2" s="1"/>
  <c r="N18" i="2" s="1"/>
  <c r="M18" i="2" s="1"/>
  <c r="C18" i="4"/>
  <c r="B18" i="4"/>
  <c r="A18" i="4"/>
  <c r="J17" i="4"/>
  <c r="E17" i="2" s="1"/>
  <c r="H17" i="2" s="1"/>
  <c r="J17" i="2" s="1"/>
  <c r="N17" i="2" s="1"/>
  <c r="M17" i="2" s="1"/>
  <c r="C17" i="4"/>
  <c r="B17" i="4"/>
  <c r="A17" i="4"/>
  <c r="J16" i="4"/>
  <c r="E16" i="2" s="1"/>
  <c r="H16" i="2" s="1"/>
  <c r="J16" i="2" s="1"/>
  <c r="N16" i="2" s="1"/>
  <c r="M16" i="2" s="1"/>
  <c r="C16" i="4"/>
  <c r="B16" i="4"/>
  <c r="A16" i="4"/>
  <c r="J15" i="4"/>
  <c r="E15" i="2" s="1"/>
  <c r="H15" i="2" s="1"/>
  <c r="J15" i="2" s="1"/>
  <c r="N15" i="2" s="1"/>
  <c r="M15" i="2" s="1"/>
  <c r="C15" i="4"/>
  <c r="B15" i="4"/>
  <c r="A15" i="4"/>
  <c r="J14" i="4"/>
  <c r="C14" i="4"/>
  <c r="B14" i="4"/>
  <c r="A14" i="4"/>
  <c r="J13" i="4"/>
  <c r="C13" i="4"/>
  <c r="B13" i="4"/>
  <c r="A13" i="4"/>
  <c r="J12" i="4"/>
  <c r="C12" i="4"/>
  <c r="B12" i="4"/>
  <c r="A12" i="4"/>
  <c r="J11" i="4"/>
  <c r="E11" i="2" s="1"/>
  <c r="C11" i="4"/>
  <c r="B11" i="4"/>
  <c r="A11" i="4"/>
  <c r="J10" i="4"/>
  <c r="E10" i="2" s="1"/>
  <c r="C10" i="4"/>
  <c r="B10" i="4"/>
  <c r="A10" i="4"/>
  <c r="J9" i="4"/>
  <c r="E9" i="2" s="1"/>
  <c r="C9" i="4"/>
  <c r="B9" i="4"/>
  <c r="A9" i="4"/>
  <c r="J8" i="4"/>
  <c r="E8" i="2" s="1"/>
  <c r="C8" i="4"/>
  <c r="B8" i="4"/>
  <c r="A8" i="4"/>
  <c r="J7" i="4"/>
  <c r="E7" i="2" s="1"/>
  <c r="C7" i="4"/>
  <c r="B7" i="4"/>
  <c r="A7" i="4"/>
  <c r="J6" i="4"/>
  <c r="E6" i="2" s="1"/>
  <c r="C6" i="4"/>
  <c r="B6" i="4"/>
  <c r="A6" i="4"/>
  <c r="J5" i="4"/>
  <c r="E5" i="2" s="1"/>
  <c r="C5" i="4"/>
  <c r="B5" i="4"/>
  <c r="A5" i="4"/>
  <c r="I31" i="3"/>
  <c r="J31" i="3" s="1"/>
  <c r="H31" i="3"/>
  <c r="I30" i="3"/>
  <c r="H30" i="3"/>
  <c r="J30" i="3" s="1"/>
  <c r="I29" i="3"/>
  <c r="H29" i="3"/>
  <c r="J29" i="3" s="1"/>
  <c r="I28" i="3"/>
  <c r="H28" i="3"/>
  <c r="J28" i="3" s="1"/>
  <c r="I27" i="3"/>
  <c r="H27" i="3"/>
  <c r="J27" i="3" s="1"/>
  <c r="I26" i="3"/>
  <c r="H26" i="3"/>
  <c r="J26" i="3" s="1"/>
  <c r="I25" i="3"/>
  <c r="H25" i="3"/>
  <c r="J25" i="3" s="1"/>
  <c r="I24" i="3"/>
  <c r="H24" i="3"/>
  <c r="J24" i="3" s="1"/>
  <c r="I23" i="3"/>
  <c r="H23" i="3"/>
  <c r="J23" i="3" s="1"/>
  <c r="I22" i="3"/>
  <c r="H22" i="3"/>
  <c r="J22" i="3" s="1"/>
  <c r="I21" i="3"/>
  <c r="H21" i="3"/>
  <c r="J21" i="3" s="1"/>
  <c r="I20" i="3"/>
  <c r="H20" i="3"/>
  <c r="J20" i="3" s="1"/>
  <c r="I19" i="3"/>
  <c r="H19" i="3"/>
  <c r="J19" i="3" s="1"/>
  <c r="I18" i="3"/>
  <c r="H18" i="3"/>
  <c r="J18" i="3" s="1"/>
  <c r="I17" i="3"/>
  <c r="H17" i="3"/>
  <c r="J17" i="3" s="1"/>
  <c r="I16" i="3"/>
  <c r="H16" i="3"/>
  <c r="J16" i="3" s="1"/>
  <c r="I15" i="3"/>
  <c r="H15" i="3"/>
  <c r="J15" i="3" s="1"/>
  <c r="I14" i="3"/>
  <c r="H14" i="3"/>
  <c r="J14" i="3" s="1"/>
  <c r="I13" i="3"/>
  <c r="H13" i="3"/>
  <c r="J13" i="3" s="1"/>
  <c r="I12" i="3"/>
  <c r="H12" i="3"/>
  <c r="J12" i="3" s="1"/>
  <c r="L24" i="2"/>
  <c r="K24" i="2"/>
  <c r="G24" i="2"/>
  <c r="F24" i="2"/>
  <c r="E24" i="2"/>
  <c r="H24" i="2" s="1"/>
  <c r="J24" i="2" s="1"/>
  <c r="N24" i="2" s="1"/>
  <c r="M24" i="2" s="1"/>
  <c r="D24" i="2"/>
  <c r="C24" i="2"/>
  <c r="B24" i="2"/>
  <c r="I24" i="2" s="1"/>
  <c r="A24" i="2"/>
  <c r="L23" i="2"/>
  <c r="K23" i="2"/>
  <c r="G23" i="2"/>
  <c r="F23" i="2"/>
  <c r="E23" i="2"/>
  <c r="H23" i="2" s="1"/>
  <c r="J23" i="2" s="1"/>
  <c r="N23" i="2" s="1"/>
  <c r="M23" i="2" s="1"/>
  <c r="D23" i="2"/>
  <c r="C23" i="2"/>
  <c r="B23" i="2"/>
  <c r="I23" i="2" s="1"/>
  <c r="A23" i="2"/>
  <c r="L22" i="2"/>
  <c r="K22" i="2"/>
  <c r="I22" i="2"/>
  <c r="G22" i="2"/>
  <c r="F22" i="2"/>
  <c r="E22" i="2"/>
  <c r="H22" i="2" s="1"/>
  <c r="J22" i="2" s="1"/>
  <c r="N22" i="2" s="1"/>
  <c r="M22" i="2" s="1"/>
  <c r="D22" i="2"/>
  <c r="C22" i="2"/>
  <c r="B22" i="2"/>
  <c r="A22" i="2"/>
  <c r="L21" i="2"/>
  <c r="K21" i="2"/>
  <c r="D21" i="2"/>
  <c r="C21" i="2"/>
  <c r="B21" i="2"/>
  <c r="I21" i="2" s="1"/>
  <c r="A21" i="2"/>
  <c r="L20" i="2"/>
  <c r="K20" i="2"/>
  <c r="G20" i="2"/>
  <c r="F20" i="2"/>
  <c r="D20" i="2"/>
  <c r="C20" i="2"/>
  <c r="B20" i="2"/>
  <c r="I20" i="2" s="1"/>
  <c r="A20" i="2"/>
  <c r="L19" i="2"/>
  <c r="K19" i="2"/>
  <c r="G19" i="2"/>
  <c r="F19" i="2"/>
  <c r="D19" i="2"/>
  <c r="C19" i="2"/>
  <c r="B19" i="2"/>
  <c r="I19" i="2" s="1"/>
  <c r="A19" i="2"/>
  <c r="L18" i="2"/>
  <c r="K18" i="2"/>
  <c r="G18" i="2"/>
  <c r="F18" i="2"/>
  <c r="D18" i="2"/>
  <c r="C18" i="2"/>
  <c r="B18" i="2"/>
  <c r="I18" i="2" s="1"/>
  <c r="A18" i="2"/>
  <c r="L17" i="2"/>
  <c r="K17" i="2"/>
  <c r="G17" i="2"/>
  <c r="F17" i="2"/>
  <c r="D17" i="2"/>
  <c r="C17" i="2"/>
  <c r="B17" i="2"/>
  <c r="I17" i="2" s="1"/>
  <c r="A17" i="2"/>
  <c r="L16" i="2"/>
  <c r="K16" i="2"/>
  <c r="G16" i="2"/>
  <c r="F16" i="2"/>
  <c r="D16" i="2"/>
  <c r="C16" i="2"/>
  <c r="B16" i="2"/>
  <c r="I16" i="2" s="1"/>
  <c r="A16" i="2"/>
  <c r="L15" i="2"/>
  <c r="K15" i="2"/>
  <c r="I15" i="2"/>
  <c r="G15" i="2"/>
  <c r="F15" i="2"/>
  <c r="D15" i="2"/>
  <c r="C15" i="2"/>
  <c r="B15" i="2"/>
  <c r="A15" i="2"/>
  <c r="L14" i="2"/>
  <c r="K14" i="2"/>
  <c r="E14" i="2"/>
  <c r="D14" i="2"/>
  <c r="C14" i="2"/>
  <c r="B14" i="2"/>
  <c r="I14" i="2" s="1"/>
  <c r="A14" i="2"/>
  <c r="L13" i="2"/>
  <c r="K13" i="2"/>
  <c r="G13" i="2"/>
  <c r="F13" i="2"/>
  <c r="E13" i="2"/>
  <c r="H13" i="2" s="1"/>
  <c r="J13" i="2" s="1"/>
  <c r="N13" i="2" s="1"/>
  <c r="M13" i="2" s="1"/>
  <c r="D13" i="2"/>
  <c r="C13" i="2"/>
  <c r="B13" i="2"/>
  <c r="I13" i="2" s="1"/>
  <c r="A13" i="2"/>
  <c r="L12" i="2"/>
  <c r="K12" i="2"/>
  <c r="G12" i="2"/>
  <c r="F12" i="2"/>
  <c r="E12" i="2"/>
  <c r="H12" i="2" s="1"/>
  <c r="J12" i="2" s="1"/>
  <c r="N12" i="2" s="1"/>
  <c r="M12" i="2" s="1"/>
  <c r="D12" i="2"/>
  <c r="C12" i="2"/>
  <c r="B12" i="2"/>
  <c r="I12" i="2" s="1"/>
  <c r="A12" i="2"/>
  <c r="L11" i="2"/>
  <c r="K11" i="2"/>
  <c r="D11" i="2"/>
  <c r="C11" i="2"/>
  <c r="B11" i="2"/>
  <c r="I11" i="2" s="1"/>
  <c r="A11" i="2"/>
  <c r="L10" i="2"/>
  <c r="K10" i="2"/>
  <c r="D10" i="2"/>
  <c r="C10" i="2"/>
  <c r="B10" i="2"/>
  <c r="I10" i="2" s="1"/>
  <c r="A10" i="2"/>
  <c r="L9" i="2"/>
  <c r="K9" i="2"/>
  <c r="D9" i="2"/>
  <c r="C9" i="2"/>
  <c r="B9" i="2"/>
  <c r="I9" i="2" s="1"/>
  <c r="A9" i="2"/>
  <c r="L8" i="2"/>
  <c r="K8" i="2"/>
  <c r="I8" i="2"/>
  <c r="G8" i="2"/>
  <c r="D8" i="2"/>
  <c r="C8" i="2"/>
  <c r="B8" i="2"/>
  <c r="A8" i="2"/>
  <c r="L7" i="2"/>
  <c r="K7" i="2"/>
  <c r="D7" i="2"/>
  <c r="C7" i="2"/>
  <c r="B7" i="2"/>
  <c r="I7" i="2" s="1"/>
  <c r="A7" i="2"/>
  <c r="L6" i="2"/>
  <c r="K6" i="2"/>
  <c r="D6" i="2"/>
  <c r="C6" i="2"/>
  <c r="B6" i="2"/>
  <c r="I6" i="2" s="1"/>
  <c r="A6" i="2"/>
  <c r="L5" i="2"/>
  <c r="K5" i="2"/>
  <c r="D5" i="2"/>
  <c r="C5" i="2"/>
  <c r="B5" i="2"/>
  <c r="A5" i="2"/>
  <c r="B11" i="1"/>
  <c r="H21" i="2" l="1"/>
  <c r="J21" i="2" s="1"/>
  <c r="N21" i="2" s="1"/>
  <c r="M21" i="2" s="1"/>
  <c r="H11" i="2"/>
  <c r="J11" i="2" s="1"/>
  <c r="N11" i="2" s="1"/>
  <c r="M11" i="2" s="1"/>
  <c r="H10" i="2"/>
  <c r="J10" i="2" s="1"/>
  <c r="N10" i="2" s="1"/>
  <c r="M10" i="2" s="1"/>
  <c r="H9" i="2"/>
  <c r="J9" i="2" s="1"/>
  <c r="N9" i="2" s="1"/>
  <c r="M9" i="2" s="1"/>
  <c r="H8" i="2"/>
  <c r="J8" i="2" s="1"/>
  <c r="N8" i="2" s="1"/>
  <c r="M8" i="2" s="1"/>
  <c r="H7" i="2"/>
  <c r="J7" i="2" s="1"/>
  <c r="N7" i="2" s="1"/>
  <c r="M7" i="2" s="1"/>
  <c r="H6" i="2"/>
  <c r="J6" i="2" s="1"/>
  <c r="N6" i="2" s="1"/>
  <c r="M6" i="2" s="1"/>
  <c r="H5" i="2"/>
  <c r="H14" i="2"/>
  <c r="J14" i="2" s="1"/>
  <c r="N14" i="2" s="1"/>
  <c r="M14" i="2" s="1"/>
  <c r="I5" i="2"/>
  <c r="J5" i="2" l="1"/>
  <c r="N5" i="2" s="1"/>
  <c r="M5" i="2" s="1"/>
</calcChain>
</file>

<file path=xl/sharedStrings.xml><?xml version="1.0" encoding="utf-8"?>
<sst xmlns="http://schemas.openxmlformats.org/spreadsheetml/2006/main" count="136" uniqueCount="104">
  <si>
    <t>Declamation Rubric - Inter-School Competition</t>
  </si>
  <si>
    <t>Total 100 marks. Adjust weights to suit junior / middle / senior level.</t>
  </si>
  <si>
    <t>Criteria</t>
  </si>
  <si>
    <t>Max Marks</t>
  </si>
  <si>
    <t>What judges look for</t>
  </si>
  <si>
    <t>Content &amp; Message</t>
  </si>
  <si>
    <t>Meaningful, appropriate speech; clear central theme; strong opening and closing; suitability to age group</t>
  </si>
  <si>
    <t>Delivery &amp; Voice</t>
  </si>
  <si>
    <t>Clear pronunciation; modulation of pitch and volume; pace; pauses for effect; confident tone</t>
  </si>
  <si>
    <t>Expression &amp; Emotion</t>
  </si>
  <si>
    <t>Emotion matching the content; facial expressions; passion and conviction; ability to move the audience</t>
  </si>
  <si>
    <t>Body Language &amp; Stage Presence</t>
  </si>
  <si>
    <t>Posture; eye contact; purposeful gestures; confidence; stage movement; avoiding nervous habits</t>
  </si>
  <si>
    <t>Memorization &amp; Fluency</t>
  </si>
  <si>
    <t>Delivery without prompting; no hesitation or fumbling; smooth recovery from slips</t>
  </si>
  <si>
    <t>Overall Impact</t>
  </si>
  <si>
    <t>Audience engagement; originality in interpretation; memorable performance</t>
  </si>
  <si>
    <t>Total</t>
  </si>
  <si>
    <t>Band</t>
  </si>
  <si>
    <t>% of Marks</t>
  </si>
  <si>
    <t>Descriptor</t>
  </si>
  <si>
    <t>Excellent</t>
  </si>
  <si>
    <t>90-100%</t>
  </si>
  <si>
    <t>Polished, natural, and compelling; holds the audience throughout</t>
  </si>
  <si>
    <t>Good</t>
  </si>
  <si>
    <t>70-89%</t>
  </si>
  <si>
    <t>Confident with minor lapses; message is clear</t>
  </si>
  <si>
    <t>Satisfactory</t>
  </si>
  <si>
    <t>50-69%</t>
  </si>
  <si>
    <t>Understandable but uneven; limited expression or some hesitation</t>
  </si>
  <si>
    <t>Needs Improvement</t>
  </si>
  <si>
    <t>Below 50%</t>
  </si>
  <si>
    <t>Frequent prompting, monotone, unclear, or weak connection with the audience</t>
  </si>
  <si>
    <t>Rule</t>
  </si>
  <si>
    <t>Value</t>
  </si>
  <si>
    <t>Notes</t>
  </si>
  <si>
    <t>Time limit</t>
  </si>
  <si>
    <t>3-5 minutes</t>
  </si>
  <si>
    <t>Set according to class level (edit on 'Time &amp; Penalties' sheet)</t>
  </si>
  <si>
    <t>Time deduction</t>
  </si>
  <si>
    <t>1 mark / 30 sec</t>
  </si>
  <si>
    <t>Over or under the limit, after a 15-second grace period</t>
  </si>
  <si>
    <t>Prompting</t>
  </si>
  <si>
    <t>1 mark per prompt</t>
  </si>
  <si>
    <t>Organizers may set 1-2 marks</t>
  </si>
  <si>
    <t>Notes / props (if not allowed)</t>
  </si>
  <si>
    <t>Up to 5 marks</t>
  </si>
  <si>
    <t>Enter on 'Time &amp; Penalties' sheet</t>
  </si>
  <si>
    <t>Inappropriate / offensive content</t>
  </si>
  <si>
    <t>Judge's discretion</t>
  </si>
  <si>
    <t>Up to disqualification</t>
  </si>
  <si>
    <t>Tie-breaker</t>
  </si>
  <si>
    <t>Delivery, then Content</t>
  </si>
  <si>
    <t>Highest average Delivery &amp; Voice wins; then Content &amp; Message; then judges' consensus</t>
  </si>
  <si>
    <t>Tips: use 2-3 judges and average scores; share the rubric with judges in advance; announce theme and time limits to all schools beforehand.</t>
  </si>
  <si>
    <t>Results &amp; Ranking</t>
  </si>
  <si>
    <t>Auto-calculated: average of judges' subtotals minus penalties. Ties broken by average Delivery, then average Content.</t>
  </si>
  <si>
    <t>Sr</t>
  </si>
  <si>
    <t>Participant</t>
  </si>
  <si>
    <t>School</t>
  </si>
  <si>
    <t>Class</t>
  </si>
  <si>
    <t>Judge 1</t>
  </si>
  <si>
    <t>Judge 2</t>
  </si>
  <si>
    <t>Judge 3</t>
  </si>
  <si>
    <t>Average Score</t>
  </si>
  <si>
    <t>Penalty</t>
  </si>
  <si>
    <t>Final Score (100)</t>
  </si>
  <si>
    <t>Avg Delivery &amp; Voice</t>
  </si>
  <si>
    <t>Avg Content &amp; Message</t>
  </si>
  <si>
    <t>Rank</t>
  </si>
  <si>
    <t>Tie-break key</t>
  </si>
  <si>
    <t>Row 1 on each sheet holds a sample entry - overwrite or clear it before the event. If fewer than 3 judges, leave that judge's sheet blank; averages adjust automatically.</t>
  </si>
  <si>
    <t>Participants, Timekeeping &amp; Penalties</t>
  </si>
  <si>
    <t>Enter participants here once - names flow to all judge sheets and the Results sheet. Yellow cells with blue text are inputs.</t>
  </si>
  <si>
    <t>Minimum time (sec)</t>
  </si>
  <si>
    <t>Settings: assumptions taken from the rubric (3-5 min, 1 mark/30 sec after 15 sec grace, 1 mark per prompt). Change as needed.</t>
  </si>
  <si>
    <t>Maximum time (sec)</t>
  </si>
  <si>
    <t>Grace period (sec)</t>
  </si>
  <si>
    <t>Seconds per penalty block</t>
  </si>
  <si>
    <t>Marks per penalty block</t>
  </si>
  <si>
    <t>Marks per prompt</t>
  </si>
  <si>
    <t>Participant Name</t>
  </si>
  <si>
    <t>Time Taken (sec)</t>
  </si>
  <si>
    <t>No. of Prompts</t>
  </si>
  <si>
    <t>Notes/Props Penalty (0-5)</t>
  </si>
  <si>
    <t>Time Penalty</t>
  </si>
  <si>
    <t>Prompt Penalty</t>
  </si>
  <si>
    <t>Total Penalty</t>
  </si>
  <si>
    <t>Sample - Aarav Sharma</t>
  </si>
  <si>
    <t>Delhi Public School</t>
  </si>
  <si>
    <t>VIII</t>
  </si>
  <si>
    <t>Judge 1 - Score Sheet</t>
  </si>
  <si>
    <t>Enter marks in the yellow cells only (each limited to its maximum). Penalties are applied on the Results sheet.</t>
  </si>
  <si>
    <t>Judge name:</t>
  </si>
  <si>
    <t>Content &amp; Message (20)</t>
  </si>
  <si>
    <t>Delivery &amp; Voice (25)</t>
  </si>
  <si>
    <t>Expression &amp; Emotion (20)</t>
  </si>
  <si>
    <t>Body Language &amp; Stage Presence (15)</t>
  </si>
  <si>
    <t>Memorization &amp; Fluency (10)</t>
  </si>
  <si>
    <t>Overall Impact (10)</t>
  </si>
  <si>
    <t>Subtotal (100)</t>
  </si>
  <si>
    <t>Comments</t>
  </si>
  <si>
    <t>Judge 2 - Score Sheet</t>
  </si>
  <si>
    <t>Judge 3 - Score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</si>
</sst>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4" borderId="1" xfId="0" applyFont="1" applyFill="1" applyBorder="1"/>
  </cellXfs>
  <cellStyles count="1">
    <cellStyle name="Normal" xfId="0" builtinId="0"/>
  </cellStyles>
  <dxfs count="3">
    <dxf>
      <fill>
        <patternFill>
          <bgColor rgb="FFF4B183"/>
        </patternFill>
      </fill>
    </dxf>
    <dxf>
      <fill>
        <patternFill>
          <bgColor rgb="FFD9D9D9"/>
        </patternFill>
      </fill>
    </dxf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showGridLines="0" tabSelected="1" zoomScaleNormal="100" workbookViewId="0">
      <selection activeCell="A25" sqref="A25"/>
    </sheetView>
  </sheetViews>
  <sheetFormatPr defaultColWidth="8.6328125" defaultRowHeight="14.5" x14ac:dyDescent="0.35"/>
  <cols>
    <col min="1" max="1" width="34" customWidth="1"/>
    <col min="2" max="2" width="20" customWidth="1"/>
    <col min="3" max="3" width="85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  <c r="B4" s="3" t="s">
        <v>3</v>
      </c>
      <c r="C4" s="3" t="s">
        <v>4</v>
      </c>
    </row>
    <row r="5" spans="1:3" ht="25" x14ac:dyDescent="0.35">
      <c r="A5" s="4" t="s">
        <v>5</v>
      </c>
      <c r="B5" s="5">
        <v>20</v>
      </c>
      <c r="C5" s="6" t="s">
        <v>6</v>
      </c>
    </row>
    <row r="6" spans="1:3" x14ac:dyDescent="0.35">
      <c r="A6" s="4" t="s">
        <v>7</v>
      </c>
      <c r="B6" s="5">
        <v>25</v>
      </c>
      <c r="C6" s="6" t="s">
        <v>8</v>
      </c>
    </row>
    <row r="7" spans="1:3" x14ac:dyDescent="0.35">
      <c r="A7" s="4" t="s">
        <v>9</v>
      </c>
      <c r="B7" s="5">
        <v>20</v>
      </c>
      <c r="C7" s="6" t="s">
        <v>10</v>
      </c>
    </row>
    <row r="8" spans="1:3" x14ac:dyDescent="0.35">
      <c r="A8" s="4" t="s">
        <v>11</v>
      </c>
      <c r="B8" s="5">
        <v>15</v>
      </c>
      <c r="C8" s="6" t="s">
        <v>12</v>
      </c>
    </row>
    <row r="9" spans="1:3" x14ac:dyDescent="0.35">
      <c r="A9" s="4" t="s">
        <v>13</v>
      </c>
      <c r="B9" s="5">
        <v>10</v>
      </c>
      <c r="C9" s="6" t="s">
        <v>14</v>
      </c>
    </row>
    <row r="10" spans="1:3" x14ac:dyDescent="0.35">
      <c r="A10" s="4" t="s">
        <v>15</v>
      </c>
      <c r="B10" s="5">
        <v>10</v>
      </c>
      <c r="C10" s="6" t="s">
        <v>16</v>
      </c>
    </row>
    <row r="11" spans="1:3" x14ac:dyDescent="0.35">
      <c r="A11" s="7" t="s">
        <v>17</v>
      </c>
      <c r="B11" s="8">
        <f>SUM(B5:B10)</f>
        <v>100</v>
      </c>
      <c r="C11" s="7"/>
    </row>
    <row r="13" spans="1:3" x14ac:dyDescent="0.35">
      <c r="A13" s="3" t="s">
        <v>18</v>
      </c>
      <c r="B13" s="3" t="s">
        <v>19</v>
      </c>
      <c r="C13" s="3" t="s">
        <v>20</v>
      </c>
    </row>
    <row r="14" spans="1:3" x14ac:dyDescent="0.35">
      <c r="A14" s="9" t="s">
        <v>21</v>
      </c>
      <c r="B14" s="10" t="s">
        <v>22</v>
      </c>
      <c r="C14" s="6" t="s">
        <v>23</v>
      </c>
    </row>
    <row r="15" spans="1:3" x14ac:dyDescent="0.35">
      <c r="A15" s="9" t="s">
        <v>24</v>
      </c>
      <c r="B15" s="10" t="s">
        <v>25</v>
      </c>
      <c r="C15" s="6" t="s">
        <v>26</v>
      </c>
    </row>
    <row r="16" spans="1:3" x14ac:dyDescent="0.35">
      <c r="A16" s="9" t="s">
        <v>27</v>
      </c>
      <c r="B16" s="10" t="s">
        <v>28</v>
      </c>
      <c r="C16" s="6" t="s">
        <v>29</v>
      </c>
    </row>
    <row r="17" spans="1:3" x14ac:dyDescent="0.35">
      <c r="A17" s="9" t="s">
        <v>30</v>
      </c>
      <c r="B17" s="10" t="s">
        <v>31</v>
      </c>
      <c r="C17" s="6" t="s">
        <v>32</v>
      </c>
    </row>
    <row r="19" spans="1:3" x14ac:dyDescent="0.35">
      <c r="A19" s="3" t="s">
        <v>33</v>
      </c>
      <c r="B19" s="3" t="s">
        <v>34</v>
      </c>
      <c r="C19" s="3" t="s">
        <v>35</v>
      </c>
    </row>
    <row r="20" spans="1:3" x14ac:dyDescent="0.35">
      <c r="A20" s="9" t="s">
        <v>36</v>
      </c>
      <c r="B20" s="10" t="s">
        <v>37</v>
      </c>
      <c r="C20" s="6" t="s">
        <v>38</v>
      </c>
    </row>
    <row r="21" spans="1:3" x14ac:dyDescent="0.35">
      <c r="A21" s="9" t="s">
        <v>39</v>
      </c>
      <c r="B21" s="10" t="s">
        <v>40</v>
      </c>
      <c r="C21" s="6" t="s">
        <v>41</v>
      </c>
    </row>
    <row r="22" spans="1:3" x14ac:dyDescent="0.35">
      <c r="A22" s="9" t="s">
        <v>42</v>
      </c>
      <c r="B22" s="10" t="s">
        <v>43</v>
      </c>
      <c r="C22" s="6" t="s">
        <v>44</v>
      </c>
    </row>
    <row r="23" spans="1:3" x14ac:dyDescent="0.35">
      <c r="A23" s="9" t="s">
        <v>45</v>
      </c>
      <c r="B23" s="10" t="s">
        <v>46</v>
      </c>
      <c r="C23" s="6" t="s">
        <v>47</v>
      </c>
    </row>
    <row r="24" spans="1:3" x14ac:dyDescent="0.35">
      <c r="A24" s="9" t="s">
        <v>48</v>
      </c>
      <c r="B24" s="10" t="s">
        <v>49</v>
      </c>
      <c r="C24" s="6" t="s">
        <v>50</v>
      </c>
    </row>
    <row r="25" spans="1:3" x14ac:dyDescent="0.35">
      <c r="A25" s="9" t="s">
        <v>51</v>
      </c>
      <c r="B25" s="10" t="s">
        <v>52</v>
      </c>
      <c r="C25" s="6" t="s">
        <v>53</v>
      </c>
    </row>
    <row r="27" spans="1:3" x14ac:dyDescent="0.35">
      <c r="A27" s="2" t="s">
        <v>54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28" customWidth="1"/>
    <col min="3" max="3" width="24" customWidth="1"/>
    <col min="4" max="4" width="9" customWidth="1"/>
    <col min="5" max="7" width="10" customWidth="1"/>
    <col min="8" max="8" width="12" customWidth="1"/>
    <col min="9" max="9" width="10" customWidth="1"/>
    <col min="10" max="12" width="14" customWidth="1"/>
    <col min="13" max="13" width="8" customWidth="1"/>
    <col min="14" max="14" width="14" hidden="1" customWidth="1"/>
  </cols>
  <sheetData>
    <row r="1" spans="1:14" ht="18" x14ac:dyDescent="0.4">
      <c r="A1" s="1" t="s">
        <v>55</v>
      </c>
    </row>
    <row r="2" spans="1:14" x14ac:dyDescent="0.35">
      <c r="A2" s="2" t="s">
        <v>56</v>
      </c>
    </row>
    <row r="4" spans="1:14" ht="42" customHeight="1" x14ac:dyDescent="0.3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</row>
    <row r="5" spans="1:14" x14ac:dyDescent="0.35">
      <c r="A5" s="10">
        <f>'Time &amp; Penalties'!A12</f>
        <v>1</v>
      </c>
      <c r="B5" s="6" t="str">
        <f>IF('Time &amp; Penalties'!B12="","",'Time &amp; Penalties'!B12)</f>
        <v>Sample - Aarav Sharma</v>
      </c>
      <c r="C5" s="6" t="str">
        <f>IF('Time &amp; Penalties'!C12="","",'Time &amp; Penalties'!C12)</f>
        <v>Delhi Public School</v>
      </c>
      <c r="D5" s="10" t="str">
        <f>IF('Time &amp; Penalties'!D12="","",'Time &amp; Penalties'!D12)</f>
        <v>VIII</v>
      </c>
      <c r="E5" s="11">
        <f>'Judge 1'!J5</f>
        <v>80</v>
      </c>
      <c r="F5" s="11">
        <f>'Judge 2'!J5</f>
        <v>83</v>
      </c>
      <c r="G5" s="11">
        <f>'Judge 3'!J5</f>
        <v>86</v>
      </c>
      <c r="H5" s="11">
        <f t="shared" ref="H5:H24" si="0">IF(COUNT(E5:G5)=0,"",AVERAGE(E5:G5))</f>
        <v>83</v>
      </c>
      <c r="I5" s="11">
        <f>IF(B5="","",'Time &amp; Penalties'!J12)</f>
        <v>1</v>
      </c>
      <c r="J5" s="12">
        <f t="shared" ref="J5:J24" si="1">IF(H5="","",MAX(0,H5-N(I5)))</f>
        <v>82</v>
      </c>
      <c r="K5" s="11">
        <f>IFERROR(AVERAGE('Judge 1'!E5,'Judge 2'!E5,'Judge 3'!E5),"")</f>
        <v>21</v>
      </c>
      <c r="L5" s="11">
        <f>IFERROR(AVERAGE('Judge 1'!D5,'Judge 2'!D5,'Judge 3'!D5),"")</f>
        <v>17</v>
      </c>
      <c r="M5" s="9">
        <f t="shared" ref="M5:M24" si="2">IF(N5="","",RANK(N5,$N$5:$N$24))</f>
        <v>1</v>
      </c>
      <c r="N5" s="13">
        <f t="shared" ref="N5:N24" si="3">IF(OR(J5="",K5="",L5=""),"",J5+K5/1000+L5/1000000)</f>
        <v>82.021017000000001</v>
      </c>
    </row>
    <row r="6" spans="1:14" x14ac:dyDescent="0.35">
      <c r="A6" s="10">
        <f>'Time &amp; Penalties'!A13</f>
        <v>2</v>
      </c>
      <c r="B6" s="6" t="str">
        <f>IF('Time &amp; Penalties'!B13="","",'Time &amp; Penalties'!B13)</f>
        <v/>
      </c>
      <c r="C6" s="6" t="str">
        <f>IF('Time &amp; Penalties'!C13="","",'Time &amp; Penalties'!C13)</f>
        <v/>
      </c>
      <c r="D6" s="10" t="str">
        <f>IF('Time &amp; Penalties'!D13="","",'Time &amp; Penalties'!D13)</f>
        <v/>
      </c>
      <c r="E6" s="11" t="str">
        <f>'Judge 1'!J6</f>
        <v/>
      </c>
      <c r="F6" s="11" t="str">
        <f>'Judge 2'!J6</f>
        <v/>
      </c>
      <c r="G6" s="11" t="str">
        <f>'Judge 3'!J6</f>
        <v/>
      </c>
      <c r="H6" s="11" t="str">
        <f t="shared" si="0"/>
        <v/>
      </c>
      <c r="I6" s="11" t="str">
        <f>IF(B6="","",'Time &amp; Penalties'!J13)</f>
        <v/>
      </c>
      <c r="J6" s="12" t="str">
        <f t="shared" si="1"/>
        <v/>
      </c>
      <c r="K6" s="11" t="str">
        <f>IFERROR(AVERAGE('Judge 1'!E6,'Judge 2'!E6,'Judge 3'!E6),"")</f>
        <v/>
      </c>
      <c r="L6" s="11" t="str">
        <f>IFERROR(AVERAGE('Judge 1'!D6,'Judge 2'!D6,'Judge 3'!D6),"")</f>
        <v/>
      </c>
      <c r="M6" s="9" t="str">
        <f t="shared" si="2"/>
        <v/>
      </c>
      <c r="N6" s="13" t="str">
        <f t="shared" si="3"/>
        <v/>
      </c>
    </row>
    <row r="7" spans="1:14" x14ac:dyDescent="0.35">
      <c r="A7" s="10">
        <f>'Time &amp; Penalties'!A14</f>
        <v>3</v>
      </c>
      <c r="B7" s="6" t="str">
        <f>IF('Time &amp; Penalties'!B14="","",'Time &amp; Penalties'!B14)</f>
        <v/>
      </c>
      <c r="C7" s="6" t="str">
        <f>IF('Time &amp; Penalties'!C14="","",'Time &amp; Penalties'!C14)</f>
        <v/>
      </c>
      <c r="D7" s="10" t="str">
        <f>IF('Time &amp; Penalties'!D14="","",'Time &amp; Penalties'!D14)</f>
        <v/>
      </c>
      <c r="E7" s="11" t="str">
        <f>'Judge 1'!J7</f>
        <v/>
      </c>
      <c r="F7" s="11" t="str">
        <f>'Judge 2'!J7</f>
        <v/>
      </c>
      <c r="G7" s="11" t="str">
        <f>'Judge 3'!J7</f>
        <v/>
      </c>
      <c r="H7" s="11" t="str">
        <f t="shared" si="0"/>
        <v/>
      </c>
      <c r="I7" s="11" t="str">
        <f>IF(B7="","",'Time &amp; Penalties'!J14)</f>
        <v/>
      </c>
      <c r="J7" s="12" t="str">
        <f t="shared" si="1"/>
        <v/>
      </c>
      <c r="K7" s="11" t="str">
        <f>IFERROR(AVERAGE('Judge 1'!E7,'Judge 2'!E7,'Judge 3'!E7),"")</f>
        <v/>
      </c>
      <c r="L7" s="11" t="str">
        <f>IFERROR(AVERAGE('Judge 1'!D7,'Judge 2'!D7,'Judge 3'!D7),"")</f>
        <v/>
      </c>
      <c r="M7" s="9" t="str">
        <f t="shared" si="2"/>
        <v/>
      </c>
      <c r="N7" s="13" t="str">
        <f t="shared" si="3"/>
        <v/>
      </c>
    </row>
    <row r="8" spans="1:14" x14ac:dyDescent="0.35">
      <c r="A8" s="10">
        <f>'Time &amp; Penalties'!A15</f>
        <v>4</v>
      </c>
      <c r="B8" s="6" t="str">
        <f>IF('Time &amp; Penalties'!B15="","",'Time &amp; Penalties'!B15)</f>
        <v/>
      </c>
      <c r="C8" s="6" t="str">
        <f>IF('Time &amp; Penalties'!C15="","",'Time &amp; Penalties'!C15)</f>
        <v/>
      </c>
      <c r="D8" s="10" t="str">
        <f>IF('Time &amp; Penalties'!D15="","",'Time &amp; Penalties'!D15)</f>
        <v/>
      </c>
      <c r="E8" s="11" t="str">
        <f>'Judge 1'!J8</f>
        <v/>
      </c>
      <c r="F8" s="11" t="str">
        <f>'Judge 2'!J8</f>
        <v/>
      </c>
      <c r="G8" s="11" t="str">
        <f>'Judge 3'!J8</f>
        <v/>
      </c>
      <c r="H8" s="11" t="str">
        <f t="shared" si="0"/>
        <v/>
      </c>
      <c r="I8" s="11" t="str">
        <f>IF(B8="","",'Time &amp; Penalties'!J15)</f>
        <v/>
      </c>
      <c r="J8" s="12" t="str">
        <f t="shared" si="1"/>
        <v/>
      </c>
      <c r="K8" s="11" t="str">
        <f>IFERROR(AVERAGE('Judge 1'!E8,'Judge 2'!E8,'Judge 3'!E8),"")</f>
        <v/>
      </c>
      <c r="L8" s="11" t="str">
        <f>IFERROR(AVERAGE('Judge 1'!D8,'Judge 2'!D8,'Judge 3'!D8),"")</f>
        <v/>
      </c>
      <c r="M8" s="9" t="str">
        <f t="shared" si="2"/>
        <v/>
      </c>
      <c r="N8" s="13" t="str">
        <f t="shared" si="3"/>
        <v/>
      </c>
    </row>
    <row r="9" spans="1:14" x14ac:dyDescent="0.35">
      <c r="A9" s="10">
        <f>'Time &amp; Penalties'!A16</f>
        <v>5</v>
      </c>
      <c r="B9" s="6" t="str">
        <f>IF('Time &amp; Penalties'!B16="","",'Time &amp; Penalties'!B16)</f>
        <v/>
      </c>
      <c r="C9" s="6" t="str">
        <f>IF('Time &amp; Penalties'!C16="","",'Time &amp; Penalties'!C16)</f>
        <v/>
      </c>
      <c r="D9" s="10" t="str">
        <f>IF('Time &amp; Penalties'!D16="","",'Time &amp; Penalties'!D16)</f>
        <v/>
      </c>
      <c r="E9" s="11" t="str">
        <f>'Judge 1'!J9</f>
        <v/>
      </c>
      <c r="F9" s="11" t="str">
        <f>'Judge 2'!J9</f>
        <v/>
      </c>
      <c r="G9" s="11" t="str">
        <f>'Judge 3'!J9</f>
        <v/>
      </c>
      <c r="H9" s="11" t="str">
        <f t="shared" si="0"/>
        <v/>
      </c>
      <c r="I9" s="11" t="str">
        <f>IF(B9="","",'Time &amp; Penalties'!J16)</f>
        <v/>
      </c>
      <c r="J9" s="12" t="str">
        <f t="shared" si="1"/>
        <v/>
      </c>
      <c r="K9" s="11" t="str">
        <f>IFERROR(AVERAGE('Judge 1'!E9,'Judge 2'!E9,'Judge 3'!E9),"")</f>
        <v/>
      </c>
      <c r="L9" s="11" t="str">
        <f>IFERROR(AVERAGE('Judge 1'!D9,'Judge 2'!D9,'Judge 3'!D9),"")</f>
        <v/>
      </c>
      <c r="M9" s="9" t="str">
        <f t="shared" si="2"/>
        <v/>
      </c>
      <c r="N9" s="13" t="str">
        <f t="shared" si="3"/>
        <v/>
      </c>
    </row>
    <row r="10" spans="1:14" x14ac:dyDescent="0.35">
      <c r="A10" s="10">
        <f>'Time &amp; Penalties'!A17</f>
        <v>6</v>
      </c>
      <c r="B10" s="6" t="str">
        <f>IF('Time &amp; Penalties'!B17="","",'Time &amp; Penalties'!B17)</f>
        <v/>
      </c>
      <c r="C10" s="6" t="str">
        <f>IF('Time &amp; Penalties'!C17="","",'Time &amp; Penalties'!C17)</f>
        <v/>
      </c>
      <c r="D10" s="10" t="str">
        <f>IF('Time &amp; Penalties'!D17="","",'Time &amp; Penalties'!D17)</f>
        <v/>
      </c>
      <c r="E10" s="11" t="str">
        <f>'Judge 1'!J10</f>
        <v/>
      </c>
      <c r="F10" s="11" t="str">
        <f>'Judge 2'!J10</f>
        <v/>
      </c>
      <c r="G10" s="11" t="str">
        <f>'Judge 3'!J10</f>
        <v/>
      </c>
      <c r="H10" s="11" t="str">
        <f t="shared" si="0"/>
        <v/>
      </c>
      <c r="I10" s="11" t="str">
        <f>IF(B10="","",'Time &amp; Penalties'!J17)</f>
        <v/>
      </c>
      <c r="J10" s="12" t="str">
        <f t="shared" si="1"/>
        <v/>
      </c>
      <c r="K10" s="11" t="str">
        <f>IFERROR(AVERAGE('Judge 1'!E10,'Judge 2'!E10,'Judge 3'!E10),"")</f>
        <v/>
      </c>
      <c r="L10" s="11" t="str">
        <f>IFERROR(AVERAGE('Judge 1'!D10,'Judge 2'!D10,'Judge 3'!D10),"")</f>
        <v/>
      </c>
      <c r="M10" s="9" t="str">
        <f t="shared" si="2"/>
        <v/>
      </c>
      <c r="N10" s="13" t="str">
        <f t="shared" si="3"/>
        <v/>
      </c>
    </row>
    <row r="11" spans="1:14" x14ac:dyDescent="0.35">
      <c r="A11" s="10">
        <f>'Time &amp; Penalties'!A18</f>
        <v>7</v>
      </c>
      <c r="B11" s="6" t="str">
        <f>IF('Time &amp; Penalties'!B18="","",'Time &amp; Penalties'!B18)</f>
        <v/>
      </c>
      <c r="C11" s="6" t="str">
        <f>IF('Time &amp; Penalties'!C18="","",'Time &amp; Penalties'!C18)</f>
        <v/>
      </c>
      <c r="D11" s="10" t="str">
        <f>IF('Time &amp; Penalties'!D18="","",'Time &amp; Penalties'!D18)</f>
        <v/>
      </c>
      <c r="E11" s="11" t="str">
        <f>'Judge 1'!J11</f>
        <v/>
      </c>
      <c r="F11" s="11" t="str">
        <f>'Judge 2'!J11</f>
        <v/>
      </c>
      <c r="G11" s="11" t="str">
        <f>'Judge 3'!J11</f>
        <v/>
      </c>
      <c r="H11" s="11" t="str">
        <f t="shared" si="0"/>
        <v/>
      </c>
      <c r="I11" s="11" t="str">
        <f>IF(B11="","",'Time &amp; Penalties'!J18)</f>
        <v/>
      </c>
      <c r="J11" s="12" t="str">
        <f t="shared" si="1"/>
        <v/>
      </c>
      <c r="K11" s="11" t="str">
        <f>IFERROR(AVERAGE('Judge 1'!E11,'Judge 2'!E11,'Judge 3'!E11),"")</f>
        <v/>
      </c>
      <c r="L11" s="11" t="str">
        <f>IFERROR(AVERAGE('Judge 1'!D11,'Judge 2'!D11,'Judge 3'!D11),"")</f>
        <v/>
      </c>
      <c r="M11" s="9" t="str">
        <f t="shared" si="2"/>
        <v/>
      </c>
      <c r="N11" s="13" t="str">
        <f t="shared" si="3"/>
        <v/>
      </c>
    </row>
    <row r="12" spans="1:14" x14ac:dyDescent="0.35">
      <c r="A12" s="10">
        <f>'Time &amp; Penalties'!A19</f>
        <v>8</v>
      </c>
      <c r="B12" s="6" t="str">
        <f>IF('Time &amp; Penalties'!B19="","",'Time &amp; Penalties'!B19)</f>
        <v/>
      </c>
      <c r="C12" s="6" t="str">
        <f>IF('Time &amp; Penalties'!C19="","",'Time &amp; Penalties'!C19)</f>
        <v/>
      </c>
      <c r="D12" s="10" t="str">
        <f>IF('Time &amp; Penalties'!D19="","",'Time &amp; Penalties'!D19)</f>
        <v/>
      </c>
      <c r="E12" s="11" t="str">
        <f>'Judge 1'!J12</f>
        <v/>
      </c>
      <c r="F12" s="11" t="str">
        <f>'Judge 2'!J12</f>
        <v/>
      </c>
      <c r="G12" s="11" t="str">
        <f>'Judge 3'!J12</f>
        <v/>
      </c>
      <c r="H12" s="11" t="str">
        <f t="shared" si="0"/>
        <v/>
      </c>
      <c r="I12" s="11" t="str">
        <f>IF(B12="","",'Time &amp; Penalties'!J19)</f>
        <v/>
      </c>
      <c r="J12" s="12" t="str">
        <f t="shared" si="1"/>
        <v/>
      </c>
      <c r="K12" s="11" t="str">
        <f>IFERROR(AVERAGE('Judge 1'!E12,'Judge 2'!E12,'Judge 3'!E12),"")</f>
        <v/>
      </c>
      <c r="L12" s="11" t="str">
        <f>IFERROR(AVERAGE('Judge 1'!D12,'Judge 2'!D12,'Judge 3'!D12),"")</f>
        <v/>
      </c>
      <c r="M12" s="9" t="str">
        <f t="shared" si="2"/>
        <v/>
      </c>
      <c r="N12" s="13" t="str">
        <f t="shared" si="3"/>
        <v/>
      </c>
    </row>
    <row r="13" spans="1:14" x14ac:dyDescent="0.35">
      <c r="A13" s="10">
        <f>'Time &amp; Penalties'!A20</f>
        <v>9</v>
      </c>
      <c r="B13" s="6" t="str">
        <f>IF('Time &amp; Penalties'!B20="","",'Time &amp; Penalties'!B20)</f>
        <v/>
      </c>
      <c r="C13" s="6" t="str">
        <f>IF('Time &amp; Penalties'!C20="","",'Time &amp; Penalties'!C20)</f>
        <v/>
      </c>
      <c r="D13" s="10" t="str">
        <f>IF('Time &amp; Penalties'!D20="","",'Time &amp; Penalties'!D20)</f>
        <v/>
      </c>
      <c r="E13" s="11" t="str">
        <f>'Judge 1'!J13</f>
        <v/>
      </c>
      <c r="F13" s="11" t="str">
        <f>'Judge 2'!J13</f>
        <v/>
      </c>
      <c r="G13" s="11" t="str">
        <f>'Judge 3'!J13</f>
        <v/>
      </c>
      <c r="H13" s="11" t="str">
        <f t="shared" si="0"/>
        <v/>
      </c>
      <c r="I13" s="11" t="str">
        <f>IF(B13="","",'Time &amp; Penalties'!J20)</f>
        <v/>
      </c>
      <c r="J13" s="12" t="str">
        <f t="shared" si="1"/>
        <v/>
      </c>
      <c r="K13" s="11" t="str">
        <f>IFERROR(AVERAGE('Judge 1'!E13,'Judge 2'!E13,'Judge 3'!E13),"")</f>
        <v/>
      </c>
      <c r="L13" s="11" t="str">
        <f>IFERROR(AVERAGE('Judge 1'!D13,'Judge 2'!D13,'Judge 3'!D13),"")</f>
        <v/>
      </c>
      <c r="M13" s="9" t="str">
        <f t="shared" si="2"/>
        <v/>
      </c>
      <c r="N13" s="13" t="str">
        <f t="shared" si="3"/>
        <v/>
      </c>
    </row>
    <row r="14" spans="1:14" x14ac:dyDescent="0.35">
      <c r="A14" s="10">
        <f>'Time &amp; Penalties'!A21</f>
        <v>10</v>
      </c>
      <c r="B14" s="6" t="str">
        <f>IF('Time &amp; Penalties'!B21="","",'Time &amp; Penalties'!B21)</f>
        <v/>
      </c>
      <c r="C14" s="6" t="str">
        <f>IF('Time &amp; Penalties'!C21="","",'Time &amp; Penalties'!C21)</f>
        <v/>
      </c>
      <c r="D14" s="10" t="str">
        <f>IF('Time &amp; Penalties'!D21="","",'Time &amp; Penalties'!D21)</f>
        <v/>
      </c>
      <c r="E14" s="11" t="str">
        <f>'Judge 1'!J14</f>
        <v/>
      </c>
      <c r="F14" s="11" t="str">
        <f>'Judge 2'!J14</f>
        <v/>
      </c>
      <c r="G14" s="11" t="str">
        <f>'Judge 3'!J14</f>
        <v/>
      </c>
      <c r="H14" s="11" t="str">
        <f t="shared" si="0"/>
        <v/>
      </c>
      <c r="I14" s="11" t="str">
        <f>IF(B14="","",'Time &amp; Penalties'!J21)</f>
        <v/>
      </c>
      <c r="J14" s="12" t="str">
        <f t="shared" si="1"/>
        <v/>
      </c>
      <c r="K14" s="11" t="str">
        <f>IFERROR(AVERAGE('Judge 1'!E14,'Judge 2'!E14,'Judge 3'!E14),"")</f>
        <v/>
      </c>
      <c r="L14" s="11" t="str">
        <f>IFERROR(AVERAGE('Judge 1'!D14,'Judge 2'!D14,'Judge 3'!D14),"")</f>
        <v/>
      </c>
      <c r="M14" s="9" t="str">
        <f t="shared" si="2"/>
        <v/>
      </c>
      <c r="N14" s="13" t="str">
        <f t="shared" si="3"/>
        <v/>
      </c>
    </row>
    <row r="15" spans="1:14" x14ac:dyDescent="0.35">
      <c r="A15" s="10">
        <f>'Time &amp; Penalties'!A22</f>
        <v>11</v>
      </c>
      <c r="B15" s="6" t="str">
        <f>IF('Time &amp; Penalties'!B22="","",'Time &amp; Penalties'!B22)</f>
        <v/>
      </c>
      <c r="C15" s="6" t="str">
        <f>IF('Time &amp; Penalties'!C22="","",'Time &amp; Penalties'!C22)</f>
        <v/>
      </c>
      <c r="D15" s="10" t="str">
        <f>IF('Time &amp; Penalties'!D22="","",'Time &amp; Penalties'!D22)</f>
        <v/>
      </c>
      <c r="E15" s="11" t="str">
        <f>'Judge 1'!J15</f>
        <v/>
      </c>
      <c r="F15" s="11" t="str">
        <f>'Judge 2'!J15</f>
        <v/>
      </c>
      <c r="G15" s="11" t="str">
        <f>'Judge 3'!J15</f>
        <v/>
      </c>
      <c r="H15" s="11" t="str">
        <f t="shared" si="0"/>
        <v/>
      </c>
      <c r="I15" s="11" t="str">
        <f>IF(B15="","",'Time &amp; Penalties'!J22)</f>
        <v/>
      </c>
      <c r="J15" s="12" t="str">
        <f t="shared" si="1"/>
        <v/>
      </c>
      <c r="K15" s="11" t="str">
        <f>IFERROR(AVERAGE('Judge 1'!E15,'Judge 2'!E15,'Judge 3'!E15),"")</f>
        <v/>
      </c>
      <c r="L15" s="11" t="str">
        <f>IFERROR(AVERAGE('Judge 1'!D15,'Judge 2'!D15,'Judge 3'!D15),"")</f>
        <v/>
      </c>
      <c r="M15" s="9" t="str">
        <f t="shared" si="2"/>
        <v/>
      </c>
      <c r="N15" s="13" t="str">
        <f t="shared" si="3"/>
        <v/>
      </c>
    </row>
    <row r="16" spans="1:14" x14ac:dyDescent="0.35">
      <c r="A16" s="10">
        <f>'Time &amp; Penalties'!A23</f>
        <v>12</v>
      </c>
      <c r="B16" s="6" t="str">
        <f>IF('Time &amp; Penalties'!B23="","",'Time &amp; Penalties'!B23)</f>
        <v/>
      </c>
      <c r="C16" s="6" t="str">
        <f>IF('Time &amp; Penalties'!C23="","",'Time &amp; Penalties'!C23)</f>
        <v/>
      </c>
      <c r="D16" s="10" t="str">
        <f>IF('Time &amp; Penalties'!D23="","",'Time &amp; Penalties'!D23)</f>
        <v/>
      </c>
      <c r="E16" s="11" t="str">
        <f>'Judge 1'!J16</f>
        <v/>
      </c>
      <c r="F16" s="11" t="str">
        <f>'Judge 2'!J16</f>
        <v/>
      </c>
      <c r="G16" s="11" t="str">
        <f>'Judge 3'!J16</f>
        <v/>
      </c>
      <c r="H16" s="11" t="str">
        <f t="shared" si="0"/>
        <v/>
      </c>
      <c r="I16" s="11" t="str">
        <f>IF(B16="","",'Time &amp; Penalties'!J23)</f>
        <v/>
      </c>
      <c r="J16" s="12" t="str">
        <f t="shared" si="1"/>
        <v/>
      </c>
      <c r="K16" s="11" t="str">
        <f>IFERROR(AVERAGE('Judge 1'!E16,'Judge 2'!E16,'Judge 3'!E16),"")</f>
        <v/>
      </c>
      <c r="L16" s="11" t="str">
        <f>IFERROR(AVERAGE('Judge 1'!D16,'Judge 2'!D16,'Judge 3'!D16),"")</f>
        <v/>
      </c>
      <c r="M16" s="9" t="str">
        <f t="shared" si="2"/>
        <v/>
      </c>
      <c r="N16" s="13" t="str">
        <f t="shared" si="3"/>
        <v/>
      </c>
    </row>
    <row r="17" spans="1:14" x14ac:dyDescent="0.35">
      <c r="A17" s="10">
        <f>'Time &amp; Penalties'!A24</f>
        <v>13</v>
      </c>
      <c r="B17" s="6" t="str">
        <f>IF('Time &amp; Penalties'!B24="","",'Time &amp; Penalties'!B24)</f>
        <v/>
      </c>
      <c r="C17" s="6" t="str">
        <f>IF('Time &amp; Penalties'!C24="","",'Time &amp; Penalties'!C24)</f>
        <v/>
      </c>
      <c r="D17" s="10" t="str">
        <f>IF('Time &amp; Penalties'!D24="","",'Time &amp; Penalties'!D24)</f>
        <v/>
      </c>
      <c r="E17" s="11" t="str">
        <f>'Judge 1'!J17</f>
        <v/>
      </c>
      <c r="F17" s="11" t="str">
        <f>'Judge 2'!J17</f>
        <v/>
      </c>
      <c r="G17" s="11" t="str">
        <f>'Judge 3'!J17</f>
        <v/>
      </c>
      <c r="H17" s="11" t="str">
        <f t="shared" si="0"/>
        <v/>
      </c>
      <c r="I17" s="11" t="str">
        <f>IF(B17="","",'Time &amp; Penalties'!J24)</f>
        <v/>
      </c>
      <c r="J17" s="12" t="str">
        <f t="shared" si="1"/>
        <v/>
      </c>
      <c r="K17" s="11" t="str">
        <f>IFERROR(AVERAGE('Judge 1'!E17,'Judge 2'!E17,'Judge 3'!E17),"")</f>
        <v/>
      </c>
      <c r="L17" s="11" t="str">
        <f>IFERROR(AVERAGE('Judge 1'!D17,'Judge 2'!D17,'Judge 3'!D17),"")</f>
        <v/>
      </c>
      <c r="M17" s="9" t="str">
        <f t="shared" si="2"/>
        <v/>
      </c>
      <c r="N17" s="13" t="str">
        <f t="shared" si="3"/>
        <v/>
      </c>
    </row>
    <row r="18" spans="1:14" x14ac:dyDescent="0.35">
      <c r="A18" s="10">
        <f>'Time &amp; Penalties'!A25</f>
        <v>14</v>
      </c>
      <c r="B18" s="6" t="str">
        <f>IF('Time &amp; Penalties'!B25="","",'Time &amp; Penalties'!B25)</f>
        <v/>
      </c>
      <c r="C18" s="6" t="str">
        <f>IF('Time &amp; Penalties'!C25="","",'Time &amp; Penalties'!C25)</f>
        <v/>
      </c>
      <c r="D18" s="10" t="str">
        <f>IF('Time &amp; Penalties'!D25="","",'Time &amp; Penalties'!D25)</f>
        <v/>
      </c>
      <c r="E18" s="11" t="str">
        <f>'Judge 1'!J18</f>
        <v/>
      </c>
      <c r="F18" s="11" t="str">
        <f>'Judge 2'!J18</f>
        <v/>
      </c>
      <c r="G18" s="11" t="str">
        <f>'Judge 3'!J18</f>
        <v/>
      </c>
      <c r="H18" s="11" t="str">
        <f t="shared" si="0"/>
        <v/>
      </c>
      <c r="I18" s="11" t="str">
        <f>IF(B18="","",'Time &amp; Penalties'!J25)</f>
        <v/>
      </c>
      <c r="J18" s="12" t="str">
        <f t="shared" si="1"/>
        <v/>
      </c>
      <c r="K18" s="11" t="str">
        <f>IFERROR(AVERAGE('Judge 1'!E18,'Judge 2'!E18,'Judge 3'!E18),"")</f>
        <v/>
      </c>
      <c r="L18" s="11" t="str">
        <f>IFERROR(AVERAGE('Judge 1'!D18,'Judge 2'!D18,'Judge 3'!D18),"")</f>
        <v/>
      </c>
      <c r="M18" s="9" t="str">
        <f t="shared" si="2"/>
        <v/>
      </c>
      <c r="N18" s="13" t="str">
        <f t="shared" si="3"/>
        <v/>
      </c>
    </row>
    <row r="19" spans="1:14" x14ac:dyDescent="0.35">
      <c r="A19" s="10">
        <f>'Time &amp; Penalties'!A26</f>
        <v>15</v>
      </c>
      <c r="B19" s="6" t="str">
        <f>IF('Time &amp; Penalties'!B26="","",'Time &amp; Penalties'!B26)</f>
        <v/>
      </c>
      <c r="C19" s="6" t="str">
        <f>IF('Time &amp; Penalties'!C26="","",'Time &amp; Penalties'!C26)</f>
        <v/>
      </c>
      <c r="D19" s="10" t="str">
        <f>IF('Time &amp; Penalties'!D26="","",'Time &amp; Penalties'!D26)</f>
        <v/>
      </c>
      <c r="E19" s="11" t="str">
        <f>'Judge 1'!J19</f>
        <v/>
      </c>
      <c r="F19" s="11" t="str">
        <f>'Judge 2'!J19</f>
        <v/>
      </c>
      <c r="G19" s="11" t="str">
        <f>'Judge 3'!J19</f>
        <v/>
      </c>
      <c r="H19" s="11" t="str">
        <f t="shared" si="0"/>
        <v/>
      </c>
      <c r="I19" s="11" t="str">
        <f>IF(B19="","",'Time &amp; Penalties'!J26)</f>
        <v/>
      </c>
      <c r="J19" s="12" t="str">
        <f t="shared" si="1"/>
        <v/>
      </c>
      <c r="K19" s="11" t="str">
        <f>IFERROR(AVERAGE('Judge 1'!E19,'Judge 2'!E19,'Judge 3'!E19),"")</f>
        <v/>
      </c>
      <c r="L19" s="11" t="str">
        <f>IFERROR(AVERAGE('Judge 1'!D19,'Judge 2'!D19,'Judge 3'!D19),"")</f>
        <v/>
      </c>
      <c r="M19" s="9" t="str">
        <f t="shared" si="2"/>
        <v/>
      </c>
      <c r="N19" s="13" t="str">
        <f t="shared" si="3"/>
        <v/>
      </c>
    </row>
    <row r="20" spans="1:14" x14ac:dyDescent="0.35">
      <c r="A20" s="10">
        <f>'Time &amp; Penalties'!A27</f>
        <v>16</v>
      </c>
      <c r="B20" s="6" t="str">
        <f>IF('Time &amp; Penalties'!B27="","",'Time &amp; Penalties'!B27)</f>
        <v/>
      </c>
      <c r="C20" s="6" t="str">
        <f>IF('Time &amp; Penalties'!C27="","",'Time &amp; Penalties'!C27)</f>
        <v/>
      </c>
      <c r="D20" s="10" t="str">
        <f>IF('Time &amp; Penalties'!D27="","",'Time &amp; Penalties'!D27)</f>
        <v/>
      </c>
      <c r="E20" s="11" t="str">
        <f>'Judge 1'!J20</f>
        <v/>
      </c>
      <c r="F20" s="11" t="str">
        <f>'Judge 2'!J20</f>
        <v/>
      </c>
      <c r="G20" s="11" t="str">
        <f>'Judge 3'!J20</f>
        <v/>
      </c>
      <c r="H20" s="11" t="str">
        <f t="shared" si="0"/>
        <v/>
      </c>
      <c r="I20" s="11" t="str">
        <f>IF(B20="","",'Time &amp; Penalties'!J27)</f>
        <v/>
      </c>
      <c r="J20" s="12" t="str">
        <f t="shared" si="1"/>
        <v/>
      </c>
      <c r="K20" s="11" t="str">
        <f>IFERROR(AVERAGE('Judge 1'!E20,'Judge 2'!E20,'Judge 3'!E20),"")</f>
        <v/>
      </c>
      <c r="L20" s="11" t="str">
        <f>IFERROR(AVERAGE('Judge 1'!D20,'Judge 2'!D20,'Judge 3'!D20),"")</f>
        <v/>
      </c>
      <c r="M20" s="9" t="str">
        <f t="shared" si="2"/>
        <v/>
      </c>
      <c r="N20" s="13" t="str">
        <f t="shared" si="3"/>
        <v/>
      </c>
    </row>
    <row r="21" spans="1:14" x14ac:dyDescent="0.35">
      <c r="A21" s="10">
        <f>'Time &amp; Penalties'!A28</f>
        <v>17</v>
      </c>
      <c r="B21" s="6" t="str">
        <f>IF('Time &amp; Penalties'!B28="","",'Time &amp; Penalties'!B28)</f>
        <v/>
      </c>
      <c r="C21" s="6" t="str">
        <f>IF('Time &amp; Penalties'!C28="","",'Time &amp; Penalties'!C28)</f>
        <v/>
      </c>
      <c r="D21" s="10" t="str">
        <f>IF('Time &amp; Penalties'!D28="","",'Time &amp; Penalties'!D28)</f>
        <v/>
      </c>
      <c r="E21" s="11" t="str">
        <f>'Judge 1'!J21</f>
        <v/>
      </c>
      <c r="F21" s="11" t="str">
        <f>'Judge 2'!J21</f>
        <v/>
      </c>
      <c r="G21" s="11" t="str">
        <f>'Judge 3'!J21</f>
        <v/>
      </c>
      <c r="H21" s="11" t="str">
        <f t="shared" si="0"/>
        <v/>
      </c>
      <c r="I21" s="11" t="str">
        <f>IF(B21="","",'Time &amp; Penalties'!J28)</f>
        <v/>
      </c>
      <c r="J21" s="12" t="str">
        <f t="shared" si="1"/>
        <v/>
      </c>
      <c r="K21" s="11" t="str">
        <f>IFERROR(AVERAGE('Judge 1'!E21,'Judge 2'!E21,'Judge 3'!E21),"")</f>
        <v/>
      </c>
      <c r="L21" s="11" t="str">
        <f>IFERROR(AVERAGE('Judge 1'!D21,'Judge 2'!D21,'Judge 3'!D21),"")</f>
        <v/>
      </c>
      <c r="M21" s="9" t="str">
        <f t="shared" si="2"/>
        <v/>
      </c>
      <c r="N21" s="13" t="str">
        <f t="shared" si="3"/>
        <v/>
      </c>
    </row>
    <row r="22" spans="1:14" x14ac:dyDescent="0.35">
      <c r="A22" s="10">
        <f>'Time &amp; Penalties'!A29</f>
        <v>18</v>
      </c>
      <c r="B22" s="6" t="str">
        <f>IF('Time &amp; Penalties'!B29="","",'Time &amp; Penalties'!B29)</f>
        <v/>
      </c>
      <c r="C22" s="6" t="str">
        <f>IF('Time &amp; Penalties'!C29="","",'Time &amp; Penalties'!C29)</f>
        <v/>
      </c>
      <c r="D22" s="10" t="str">
        <f>IF('Time &amp; Penalties'!D29="","",'Time &amp; Penalties'!D29)</f>
        <v/>
      </c>
      <c r="E22" s="11" t="str">
        <f>'Judge 1'!J22</f>
        <v/>
      </c>
      <c r="F22" s="11" t="str">
        <f>'Judge 2'!J22</f>
        <v/>
      </c>
      <c r="G22" s="11" t="str">
        <f>'Judge 3'!J22</f>
        <v/>
      </c>
      <c r="H22" s="11" t="str">
        <f t="shared" si="0"/>
        <v/>
      </c>
      <c r="I22" s="11" t="str">
        <f>IF(B22="","",'Time &amp; Penalties'!J29)</f>
        <v/>
      </c>
      <c r="J22" s="12" t="str">
        <f t="shared" si="1"/>
        <v/>
      </c>
      <c r="K22" s="11" t="str">
        <f>IFERROR(AVERAGE('Judge 1'!E22,'Judge 2'!E22,'Judge 3'!E22),"")</f>
        <v/>
      </c>
      <c r="L22" s="11" t="str">
        <f>IFERROR(AVERAGE('Judge 1'!D22,'Judge 2'!D22,'Judge 3'!D22),"")</f>
        <v/>
      </c>
      <c r="M22" s="9" t="str">
        <f t="shared" si="2"/>
        <v/>
      </c>
      <c r="N22" s="13" t="str">
        <f t="shared" si="3"/>
        <v/>
      </c>
    </row>
    <row r="23" spans="1:14" x14ac:dyDescent="0.35">
      <c r="A23" s="10">
        <f>'Time &amp; Penalties'!A30</f>
        <v>19</v>
      </c>
      <c r="B23" s="6" t="str">
        <f>IF('Time &amp; Penalties'!B30="","",'Time &amp; Penalties'!B30)</f>
        <v/>
      </c>
      <c r="C23" s="6" t="str">
        <f>IF('Time &amp; Penalties'!C30="","",'Time &amp; Penalties'!C30)</f>
        <v/>
      </c>
      <c r="D23" s="10" t="str">
        <f>IF('Time &amp; Penalties'!D30="","",'Time &amp; Penalties'!D30)</f>
        <v/>
      </c>
      <c r="E23" s="11" t="str">
        <f>'Judge 1'!J23</f>
        <v/>
      </c>
      <c r="F23" s="11" t="str">
        <f>'Judge 2'!J23</f>
        <v/>
      </c>
      <c r="G23" s="11" t="str">
        <f>'Judge 3'!J23</f>
        <v/>
      </c>
      <c r="H23" s="11" t="str">
        <f t="shared" si="0"/>
        <v/>
      </c>
      <c r="I23" s="11" t="str">
        <f>IF(B23="","",'Time &amp; Penalties'!J30)</f>
        <v/>
      </c>
      <c r="J23" s="12" t="str">
        <f t="shared" si="1"/>
        <v/>
      </c>
      <c r="K23" s="11" t="str">
        <f>IFERROR(AVERAGE('Judge 1'!E23,'Judge 2'!E23,'Judge 3'!E23),"")</f>
        <v/>
      </c>
      <c r="L23" s="11" t="str">
        <f>IFERROR(AVERAGE('Judge 1'!D23,'Judge 2'!D23,'Judge 3'!D23),"")</f>
        <v/>
      </c>
      <c r="M23" s="9" t="str">
        <f t="shared" si="2"/>
        <v/>
      </c>
      <c r="N23" s="13" t="str">
        <f t="shared" si="3"/>
        <v/>
      </c>
    </row>
    <row r="24" spans="1:14" x14ac:dyDescent="0.35">
      <c r="A24" s="10">
        <f>'Time &amp; Penalties'!A31</f>
        <v>20</v>
      </c>
      <c r="B24" s="6" t="str">
        <f>IF('Time &amp; Penalties'!B31="","",'Time &amp; Penalties'!B31)</f>
        <v/>
      </c>
      <c r="C24" s="6" t="str">
        <f>IF('Time &amp; Penalties'!C31="","",'Time &amp; Penalties'!C31)</f>
        <v/>
      </c>
      <c r="D24" s="10" t="str">
        <f>IF('Time &amp; Penalties'!D31="","",'Time &amp; Penalties'!D31)</f>
        <v/>
      </c>
      <c r="E24" s="11" t="str">
        <f>'Judge 1'!J24</f>
        <v/>
      </c>
      <c r="F24" s="11" t="str">
        <f>'Judge 2'!J24</f>
        <v/>
      </c>
      <c r="G24" s="11" t="str">
        <f>'Judge 3'!J24</f>
        <v/>
      </c>
      <c r="H24" s="11" t="str">
        <f t="shared" si="0"/>
        <v/>
      </c>
      <c r="I24" s="11" t="str">
        <f>IF(B24="","",'Time &amp; Penalties'!J31)</f>
        <v/>
      </c>
      <c r="J24" s="12" t="str">
        <f t="shared" si="1"/>
        <v/>
      </c>
      <c r="K24" s="11" t="str">
        <f>IFERROR(AVERAGE('Judge 1'!E24,'Judge 2'!E24,'Judge 3'!E24),"")</f>
        <v/>
      </c>
      <c r="L24" s="11" t="str">
        <f>IFERROR(AVERAGE('Judge 1'!D24,'Judge 2'!D24,'Judge 3'!D24),"")</f>
        <v/>
      </c>
      <c r="M24" s="9" t="str">
        <f t="shared" si="2"/>
        <v/>
      </c>
      <c r="N24" s="13" t="str">
        <f t="shared" si="3"/>
        <v/>
      </c>
    </row>
    <row r="26" spans="1:14" x14ac:dyDescent="0.35">
      <c r="A26" s="2" t="s">
        <v>71</v>
      </c>
    </row>
  </sheetData>
  <conditionalFormatting sqref="M5:M24"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8.6328125" defaultRowHeight="14.5" x14ac:dyDescent="0.35"/>
  <cols>
    <col min="1" max="1" width="6" customWidth="1"/>
    <col min="2" max="2" width="28" customWidth="1"/>
    <col min="3" max="3" width="26" customWidth="1"/>
    <col min="4" max="4" width="10" customWidth="1"/>
    <col min="5" max="5" width="14" customWidth="1"/>
    <col min="6" max="6" width="12" customWidth="1"/>
    <col min="7" max="7" width="16" customWidth="1"/>
    <col min="8" max="10" width="12" customWidth="1"/>
  </cols>
  <sheetData>
    <row r="1" spans="1:10" ht="18" x14ac:dyDescent="0.4">
      <c r="A1" s="1" t="s">
        <v>72</v>
      </c>
    </row>
    <row r="2" spans="1:10" x14ac:dyDescent="0.35">
      <c r="A2" s="2" t="s">
        <v>73</v>
      </c>
    </row>
    <row r="4" spans="1:10" x14ac:dyDescent="0.35">
      <c r="A4" s="14" t="s">
        <v>74</v>
      </c>
      <c r="B4" s="15">
        <v>180</v>
      </c>
      <c r="C4" s="2" t="s">
        <v>75</v>
      </c>
    </row>
    <row r="5" spans="1:10" x14ac:dyDescent="0.35">
      <c r="A5" s="14" t="s">
        <v>76</v>
      </c>
      <c r="B5" s="15">
        <v>300</v>
      </c>
    </row>
    <row r="6" spans="1:10" x14ac:dyDescent="0.35">
      <c r="A6" s="14" t="s">
        <v>77</v>
      </c>
      <c r="B6" s="15">
        <v>15</v>
      </c>
    </row>
    <row r="7" spans="1:10" x14ac:dyDescent="0.35">
      <c r="A7" s="14" t="s">
        <v>78</v>
      </c>
      <c r="B7" s="15">
        <v>30</v>
      </c>
    </row>
    <row r="8" spans="1:10" x14ac:dyDescent="0.35">
      <c r="A8" s="14" t="s">
        <v>79</v>
      </c>
      <c r="B8" s="15">
        <v>1</v>
      </c>
    </row>
    <row r="9" spans="1:10" x14ac:dyDescent="0.35">
      <c r="A9" s="14" t="s">
        <v>80</v>
      </c>
      <c r="B9" s="15">
        <v>1</v>
      </c>
    </row>
    <row r="11" spans="1:10" ht="42" customHeight="1" x14ac:dyDescent="0.35">
      <c r="A11" s="3" t="s">
        <v>57</v>
      </c>
      <c r="B11" s="3" t="s">
        <v>81</v>
      </c>
      <c r="C11" s="3" t="s">
        <v>59</v>
      </c>
      <c r="D11" s="3" t="s">
        <v>60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</row>
    <row r="12" spans="1:10" x14ac:dyDescent="0.35">
      <c r="A12" s="10">
        <v>1</v>
      </c>
      <c r="B12" s="16" t="s">
        <v>88</v>
      </c>
      <c r="C12" s="15" t="s">
        <v>89</v>
      </c>
      <c r="D12" s="15" t="s">
        <v>90</v>
      </c>
      <c r="E12" s="15">
        <v>285</v>
      </c>
      <c r="F12" s="15">
        <v>1</v>
      </c>
      <c r="G12" s="15">
        <v>0</v>
      </c>
      <c r="H12" s="10">
        <f t="shared" ref="H12:H31" si="0">IF(OR(B12="",E12=""),0,IF((MAX(0,$B$4-E12,E12-$B$5)-$B$6)&gt;0,ROUNDUP((MAX(0,$B$4-E12,E12-$B$5)-$B$6)/$B$7,0)*$B$8,0))</f>
        <v>0</v>
      </c>
      <c r="I12" s="10">
        <f t="shared" ref="I12:I31" si="1">IF(F12="",0,F12*$B$9)</f>
        <v>1</v>
      </c>
      <c r="J12" s="9">
        <f t="shared" ref="J12:J31" si="2">H12+I12+N(G12)</f>
        <v>1</v>
      </c>
    </row>
    <row r="13" spans="1:10" x14ac:dyDescent="0.35">
      <c r="A13" s="10">
        <v>2</v>
      </c>
      <c r="B13" s="16"/>
      <c r="C13" s="15"/>
      <c r="D13" s="15"/>
      <c r="E13" s="15"/>
      <c r="F13" s="15"/>
      <c r="G13" s="15"/>
      <c r="H13" s="10">
        <f t="shared" si="0"/>
        <v>0</v>
      </c>
      <c r="I13" s="10">
        <f t="shared" si="1"/>
        <v>0</v>
      </c>
      <c r="J13" s="9">
        <f t="shared" si="2"/>
        <v>0</v>
      </c>
    </row>
    <row r="14" spans="1:10" x14ac:dyDescent="0.35">
      <c r="A14" s="10">
        <v>3</v>
      </c>
      <c r="B14" s="16"/>
      <c r="C14" s="15"/>
      <c r="D14" s="15"/>
      <c r="E14" s="15"/>
      <c r="F14" s="15"/>
      <c r="G14" s="15"/>
      <c r="H14" s="10">
        <f t="shared" si="0"/>
        <v>0</v>
      </c>
      <c r="I14" s="10">
        <f t="shared" si="1"/>
        <v>0</v>
      </c>
      <c r="J14" s="9">
        <f t="shared" si="2"/>
        <v>0</v>
      </c>
    </row>
    <row r="15" spans="1:10" x14ac:dyDescent="0.35">
      <c r="A15" s="10">
        <v>4</v>
      </c>
      <c r="B15" s="16"/>
      <c r="C15" s="15"/>
      <c r="D15" s="15"/>
      <c r="E15" s="15"/>
      <c r="F15" s="15"/>
      <c r="G15" s="15"/>
      <c r="H15" s="10">
        <f t="shared" si="0"/>
        <v>0</v>
      </c>
      <c r="I15" s="10">
        <f t="shared" si="1"/>
        <v>0</v>
      </c>
      <c r="J15" s="9">
        <f t="shared" si="2"/>
        <v>0</v>
      </c>
    </row>
    <row r="16" spans="1:10" x14ac:dyDescent="0.35">
      <c r="A16" s="10">
        <v>5</v>
      </c>
      <c r="B16" s="16"/>
      <c r="C16" s="15"/>
      <c r="D16" s="15"/>
      <c r="E16" s="15"/>
      <c r="F16" s="15"/>
      <c r="G16" s="15"/>
      <c r="H16" s="10">
        <f t="shared" si="0"/>
        <v>0</v>
      </c>
      <c r="I16" s="10">
        <f t="shared" si="1"/>
        <v>0</v>
      </c>
      <c r="J16" s="9">
        <f t="shared" si="2"/>
        <v>0</v>
      </c>
    </row>
    <row r="17" spans="1:10" x14ac:dyDescent="0.35">
      <c r="A17" s="10">
        <v>6</v>
      </c>
      <c r="B17" s="16"/>
      <c r="C17" s="15"/>
      <c r="D17" s="15"/>
      <c r="E17" s="15"/>
      <c r="F17" s="15"/>
      <c r="G17" s="15"/>
      <c r="H17" s="10">
        <f t="shared" si="0"/>
        <v>0</v>
      </c>
      <c r="I17" s="10">
        <f t="shared" si="1"/>
        <v>0</v>
      </c>
      <c r="J17" s="9">
        <f t="shared" si="2"/>
        <v>0</v>
      </c>
    </row>
    <row r="18" spans="1:10" x14ac:dyDescent="0.35">
      <c r="A18" s="10">
        <v>7</v>
      </c>
      <c r="B18" s="16"/>
      <c r="C18" s="15"/>
      <c r="D18" s="15"/>
      <c r="E18" s="15"/>
      <c r="F18" s="15"/>
      <c r="G18" s="15"/>
      <c r="H18" s="10">
        <f t="shared" si="0"/>
        <v>0</v>
      </c>
      <c r="I18" s="10">
        <f t="shared" si="1"/>
        <v>0</v>
      </c>
      <c r="J18" s="9">
        <f t="shared" si="2"/>
        <v>0</v>
      </c>
    </row>
    <row r="19" spans="1:10" x14ac:dyDescent="0.35">
      <c r="A19" s="10">
        <v>8</v>
      </c>
      <c r="B19" s="16"/>
      <c r="C19" s="15"/>
      <c r="D19" s="15"/>
      <c r="E19" s="15"/>
      <c r="F19" s="15"/>
      <c r="G19" s="15"/>
      <c r="H19" s="10">
        <f t="shared" si="0"/>
        <v>0</v>
      </c>
      <c r="I19" s="10">
        <f t="shared" si="1"/>
        <v>0</v>
      </c>
      <c r="J19" s="9">
        <f t="shared" si="2"/>
        <v>0</v>
      </c>
    </row>
    <row r="20" spans="1:10" x14ac:dyDescent="0.35">
      <c r="A20" s="10">
        <v>9</v>
      </c>
      <c r="B20" s="16"/>
      <c r="C20" s="15"/>
      <c r="D20" s="15"/>
      <c r="E20" s="15"/>
      <c r="F20" s="15"/>
      <c r="G20" s="15"/>
      <c r="H20" s="10">
        <f t="shared" si="0"/>
        <v>0</v>
      </c>
      <c r="I20" s="10">
        <f t="shared" si="1"/>
        <v>0</v>
      </c>
      <c r="J20" s="9">
        <f t="shared" si="2"/>
        <v>0</v>
      </c>
    </row>
    <row r="21" spans="1:10" x14ac:dyDescent="0.35">
      <c r="A21" s="10">
        <v>10</v>
      </c>
      <c r="B21" s="16"/>
      <c r="C21" s="15"/>
      <c r="D21" s="15"/>
      <c r="E21" s="15"/>
      <c r="F21" s="15"/>
      <c r="G21" s="15"/>
      <c r="H21" s="10">
        <f t="shared" si="0"/>
        <v>0</v>
      </c>
      <c r="I21" s="10">
        <f t="shared" si="1"/>
        <v>0</v>
      </c>
      <c r="J21" s="9">
        <f t="shared" si="2"/>
        <v>0</v>
      </c>
    </row>
    <row r="22" spans="1:10" x14ac:dyDescent="0.35">
      <c r="A22" s="10">
        <v>11</v>
      </c>
      <c r="B22" s="16"/>
      <c r="C22" s="15"/>
      <c r="D22" s="15"/>
      <c r="E22" s="15"/>
      <c r="F22" s="15"/>
      <c r="G22" s="15"/>
      <c r="H22" s="10">
        <f t="shared" si="0"/>
        <v>0</v>
      </c>
      <c r="I22" s="10">
        <f t="shared" si="1"/>
        <v>0</v>
      </c>
      <c r="J22" s="9">
        <f t="shared" si="2"/>
        <v>0</v>
      </c>
    </row>
    <row r="23" spans="1:10" x14ac:dyDescent="0.35">
      <c r="A23" s="10">
        <v>12</v>
      </c>
      <c r="B23" s="16"/>
      <c r="C23" s="15"/>
      <c r="D23" s="15"/>
      <c r="E23" s="15"/>
      <c r="F23" s="15"/>
      <c r="G23" s="15"/>
      <c r="H23" s="10">
        <f t="shared" si="0"/>
        <v>0</v>
      </c>
      <c r="I23" s="10">
        <f t="shared" si="1"/>
        <v>0</v>
      </c>
      <c r="J23" s="9">
        <f t="shared" si="2"/>
        <v>0</v>
      </c>
    </row>
    <row r="24" spans="1:10" x14ac:dyDescent="0.35">
      <c r="A24" s="10">
        <v>13</v>
      </c>
      <c r="B24" s="16"/>
      <c r="C24" s="15"/>
      <c r="D24" s="15"/>
      <c r="E24" s="15"/>
      <c r="F24" s="15"/>
      <c r="G24" s="15"/>
      <c r="H24" s="10">
        <f t="shared" si="0"/>
        <v>0</v>
      </c>
      <c r="I24" s="10">
        <f t="shared" si="1"/>
        <v>0</v>
      </c>
      <c r="J24" s="9">
        <f t="shared" si="2"/>
        <v>0</v>
      </c>
    </row>
    <row r="25" spans="1:10" x14ac:dyDescent="0.35">
      <c r="A25" s="10">
        <v>14</v>
      </c>
      <c r="B25" s="16"/>
      <c r="C25" s="15"/>
      <c r="D25" s="15"/>
      <c r="E25" s="15"/>
      <c r="F25" s="15"/>
      <c r="G25" s="15"/>
      <c r="H25" s="10">
        <f t="shared" si="0"/>
        <v>0</v>
      </c>
      <c r="I25" s="10">
        <f t="shared" si="1"/>
        <v>0</v>
      </c>
      <c r="J25" s="9">
        <f t="shared" si="2"/>
        <v>0</v>
      </c>
    </row>
    <row r="26" spans="1:10" x14ac:dyDescent="0.35">
      <c r="A26" s="10">
        <v>15</v>
      </c>
      <c r="B26" s="16"/>
      <c r="C26" s="15"/>
      <c r="D26" s="15"/>
      <c r="E26" s="15"/>
      <c r="F26" s="15"/>
      <c r="G26" s="15"/>
      <c r="H26" s="10">
        <f t="shared" si="0"/>
        <v>0</v>
      </c>
      <c r="I26" s="10">
        <f t="shared" si="1"/>
        <v>0</v>
      </c>
      <c r="J26" s="9">
        <f t="shared" si="2"/>
        <v>0</v>
      </c>
    </row>
    <row r="27" spans="1:10" x14ac:dyDescent="0.35">
      <c r="A27" s="10">
        <v>16</v>
      </c>
      <c r="B27" s="16"/>
      <c r="C27" s="15"/>
      <c r="D27" s="15"/>
      <c r="E27" s="15"/>
      <c r="F27" s="15"/>
      <c r="G27" s="15"/>
      <c r="H27" s="10">
        <f t="shared" si="0"/>
        <v>0</v>
      </c>
      <c r="I27" s="10">
        <f t="shared" si="1"/>
        <v>0</v>
      </c>
      <c r="J27" s="9">
        <f t="shared" si="2"/>
        <v>0</v>
      </c>
    </row>
    <row r="28" spans="1:10" x14ac:dyDescent="0.35">
      <c r="A28" s="10">
        <v>17</v>
      </c>
      <c r="B28" s="16"/>
      <c r="C28" s="15"/>
      <c r="D28" s="15"/>
      <c r="E28" s="15"/>
      <c r="F28" s="15"/>
      <c r="G28" s="15"/>
      <c r="H28" s="10">
        <f t="shared" si="0"/>
        <v>0</v>
      </c>
      <c r="I28" s="10">
        <f t="shared" si="1"/>
        <v>0</v>
      </c>
      <c r="J28" s="9">
        <f t="shared" si="2"/>
        <v>0</v>
      </c>
    </row>
    <row r="29" spans="1:10" x14ac:dyDescent="0.35">
      <c r="A29" s="10">
        <v>18</v>
      </c>
      <c r="B29" s="16"/>
      <c r="C29" s="15"/>
      <c r="D29" s="15"/>
      <c r="E29" s="15"/>
      <c r="F29" s="15"/>
      <c r="G29" s="15"/>
      <c r="H29" s="10">
        <f t="shared" si="0"/>
        <v>0</v>
      </c>
      <c r="I29" s="10">
        <f t="shared" si="1"/>
        <v>0</v>
      </c>
      <c r="J29" s="9">
        <f t="shared" si="2"/>
        <v>0</v>
      </c>
    </row>
    <row r="30" spans="1:10" x14ac:dyDescent="0.35">
      <c r="A30" s="10">
        <v>19</v>
      </c>
      <c r="B30" s="16"/>
      <c r="C30" s="15"/>
      <c r="D30" s="15"/>
      <c r="E30" s="15"/>
      <c r="F30" s="15"/>
      <c r="G30" s="15"/>
      <c r="H30" s="10">
        <f t="shared" si="0"/>
        <v>0</v>
      </c>
      <c r="I30" s="10">
        <f t="shared" si="1"/>
        <v>0</v>
      </c>
      <c r="J30" s="9">
        <f t="shared" si="2"/>
        <v>0</v>
      </c>
    </row>
    <row r="31" spans="1:10" x14ac:dyDescent="0.35">
      <c r="A31" s="10">
        <v>20</v>
      </c>
      <c r="B31" s="16"/>
      <c r="C31" s="15"/>
      <c r="D31" s="15"/>
      <c r="E31" s="15"/>
      <c r="F31" s="15"/>
      <c r="G31" s="15"/>
      <c r="H31" s="10">
        <f t="shared" si="0"/>
        <v>0</v>
      </c>
      <c r="I31" s="10">
        <f t="shared" si="1"/>
        <v>0</v>
      </c>
      <c r="J31" s="9">
        <f t="shared" si="2"/>
        <v>0</v>
      </c>
    </row>
  </sheetData>
  <dataValidations count="1">
    <dataValidation type="decimal" showErrorMessage="1" error="Enter 0 to 5" sqref="G12:G31" xr:uid="{00000000-0002-0000-0200-000000000000}">
      <formula1>0</formula1>
      <formula2>5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28" customWidth="1"/>
    <col min="3" max="3" width="24" customWidth="1"/>
    <col min="4" max="6" width="13" customWidth="1"/>
    <col min="7" max="7" width="15" customWidth="1"/>
    <col min="8" max="8" width="14" customWidth="1"/>
    <col min="9" max="9" width="12" customWidth="1"/>
    <col min="10" max="10" width="13" customWidth="1"/>
    <col min="11" max="11" width="40" customWidth="1"/>
  </cols>
  <sheetData>
    <row r="1" spans="1:11" ht="18" x14ac:dyDescent="0.4">
      <c r="A1" s="1" t="s">
        <v>91</v>
      </c>
    </row>
    <row r="2" spans="1:11" x14ac:dyDescent="0.35">
      <c r="A2" s="2" t="s">
        <v>92</v>
      </c>
    </row>
    <row r="3" spans="1:11" x14ac:dyDescent="0.35">
      <c r="A3" s="17" t="s">
        <v>93</v>
      </c>
      <c r="B3" s="18"/>
    </row>
    <row r="4" spans="1:11" ht="48" customHeight="1" x14ac:dyDescent="0.35">
      <c r="A4" s="3" t="s">
        <v>57</v>
      </c>
      <c r="B4" s="3" t="s">
        <v>58</v>
      </c>
      <c r="C4" s="3" t="s">
        <v>59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</row>
    <row r="5" spans="1:11" x14ac:dyDescent="0.35">
      <c r="A5" s="10">
        <f>'Time &amp; Penalties'!A12</f>
        <v>1</v>
      </c>
      <c r="B5" s="6" t="str">
        <f>IF('Time &amp; Penalties'!B12="","",'Time &amp; Penalties'!B12)</f>
        <v>Sample - Aarav Sharma</v>
      </c>
      <c r="C5" s="6" t="str">
        <f>IF('Time &amp; Penalties'!C12="","",'Time &amp; Penalties'!C12)</f>
        <v>Delhi Public School</v>
      </c>
      <c r="D5" s="15">
        <v>16</v>
      </c>
      <c r="E5" s="15">
        <v>21</v>
      </c>
      <c r="F5" s="15">
        <v>15</v>
      </c>
      <c r="G5" s="15">
        <v>12</v>
      </c>
      <c r="H5" s="15">
        <v>8</v>
      </c>
      <c r="I5" s="15">
        <v>8</v>
      </c>
      <c r="J5" s="9">
        <f t="shared" ref="J5:J24" si="0">IF(COUNT(D5:I5)=0,"",SUM(D5:I5))</f>
        <v>80</v>
      </c>
      <c r="K5" s="16"/>
    </row>
    <row r="6" spans="1:11" x14ac:dyDescent="0.35">
      <c r="A6" s="10">
        <f>'Time &amp; Penalties'!A13</f>
        <v>2</v>
      </c>
      <c r="B6" s="6" t="str">
        <f>IF('Time &amp; Penalties'!B13="","",'Time &amp; Penalties'!B13)</f>
        <v/>
      </c>
      <c r="C6" s="6" t="str">
        <f>IF('Time &amp; Penalties'!C13="","",'Time &amp; Penalties'!C13)</f>
        <v/>
      </c>
      <c r="D6" s="15"/>
      <c r="E6" s="15"/>
      <c r="F6" s="15"/>
      <c r="G6" s="15"/>
      <c r="H6" s="15"/>
      <c r="I6" s="15"/>
      <c r="J6" s="9" t="str">
        <f t="shared" si="0"/>
        <v/>
      </c>
      <c r="K6" s="16"/>
    </row>
    <row r="7" spans="1:11" x14ac:dyDescent="0.35">
      <c r="A7" s="10">
        <f>'Time &amp; Penalties'!A14</f>
        <v>3</v>
      </c>
      <c r="B7" s="6" t="str">
        <f>IF('Time &amp; Penalties'!B14="","",'Time &amp; Penalties'!B14)</f>
        <v/>
      </c>
      <c r="C7" s="6" t="str">
        <f>IF('Time &amp; Penalties'!C14="","",'Time &amp; Penalties'!C14)</f>
        <v/>
      </c>
      <c r="D7" s="15"/>
      <c r="E7" s="15"/>
      <c r="F7" s="15"/>
      <c r="G7" s="15"/>
      <c r="H7" s="15"/>
      <c r="I7" s="15"/>
      <c r="J7" s="9" t="str">
        <f t="shared" si="0"/>
        <v/>
      </c>
      <c r="K7" s="16"/>
    </row>
    <row r="8" spans="1:11" x14ac:dyDescent="0.35">
      <c r="A8" s="10">
        <f>'Time &amp; Penalties'!A15</f>
        <v>4</v>
      </c>
      <c r="B8" s="6" t="str">
        <f>IF('Time &amp; Penalties'!B15="","",'Time &amp; Penalties'!B15)</f>
        <v/>
      </c>
      <c r="C8" s="6" t="str">
        <f>IF('Time &amp; Penalties'!C15="","",'Time &amp; Penalties'!C15)</f>
        <v/>
      </c>
      <c r="D8" s="15"/>
      <c r="E8" s="15"/>
      <c r="F8" s="15"/>
      <c r="G8" s="15"/>
      <c r="H8" s="15"/>
      <c r="I8" s="15"/>
      <c r="J8" s="9" t="str">
        <f t="shared" si="0"/>
        <v/>
      </c>
      <c r="K8" s="16"/>
    </row>
    <row r="9" spans="1:11" x14ac:dyDescent="0.35">
      <c r="A9" s="10">
        <f>'Time &amp; Penalties'!A16</f>
        <v>5</v>
      </c>
      <c r="B9" s="6" t="str">
        <f>IF('Time &amp; Penalties'!B16="","",'Time &amp; Penalties'!B16)</f>
        <v/>
      </c>
      <c r="C9" s="6" t="str">
        <f>IF('Time &amp; Penalties'!C16="","",'Time &amp; Penalties'!C16)</f>
        <v/>
      </c>
      <c r="D9" s="15"/>
      <c r="E9" s="15"/>
      <c r="F9" s="15"/>
      <c r="G9" s="15"/>
      <c r="H9" s="15"/>
      <c r="I9" s="15"/>
      <c r="J9" s="9" t="str">
        <f t="shared" si="0"/>
        <v/>
      </c>
      <c r="K9" s="16"/>
    </row>
    <row r="10" spans="1:11" x14ac:dyDescent="0.35">
      <c r="A10" s="10">
        <f>'Time &amp; Penalties'!A17</f>
        <v>6</v>
      </c>
      <c r="B10" s="6" t="str">
        <f>IF('Time &amp; Penalties'!B17="","",'Time &amp; Penalties'!B17)</f>
        <v/>
      </c>
      <c r="C10" s="6" t="str">
        <f>IF('Time &amp; Penalties'!C17="","",'Time &amp; Penalties'!C17)</f>
        <v/>
      </c>
      <c r="D10" s="15"/>
      <c r="E10" s="15"/>
      <c r="F10" s="15"/>
      <c r="G10" s="15"/>
      <c r="H10" s="15"/>
      <c r="I10" s="15"/>
      <c r="J10" s="9" t="str">
        <f t="shared" si="0"/>
        <v/>
      </c>
      <c r="K10" s="16"/>
    </row>
    <row r="11" spans="1:11" x14ac:dyDescent="0.35">
      <c r="A11" s="10">
        <f>'Time &amp; Penalties'!A18</f>
        <v>7</v>
      </c>
      <c r="B11" s="6" t="str">
        <f>IF('Time &amp; Penalties'!B18="","",'Time &amp; Penalties'!B18)</f>
        <v/>
      </c>
      <c r="C11" s="6" t="str">
        <f>IF('Time &amp; Penalties'!C18="","",'Time &amp; Penalties'!C18)</f>
        <v/>
      </c>
      <c r="D11" s="15"/>
      <c r="E11" s="15"/>
      <c r="F11" s="15"/>
      <c r="G11" s="15"/>
      <c r="H11" s="15"/>
      <c r="I11" s="15"/>
      <c r="J11" s="9" t="str">
        <f t="shared" si="0"/>
        <v/>
      </c>
      <c r="K11" s="16"/>
    </row>
    <row r="12" spans="1:11" x14ac:dyDescent="0.35">
      <c r="A12" s="10">
        <f>'Time &amp; Penalties'!A19</f>
        <v>8</v>
      </c>
      <c r="B12" s="6" t="str">
        <f>IF('Time &amp; Penalties'!B19="","",'Time &amp; Penalties'!B19)</f>
        <v/>
      </c>
      <c r="C12" s="6" t="str">
        <f>IF('Time &amp; Penalties'!C19="","",'Time &amp; Penalties'!C19)</f>
        <v/>
      </c>
      <c r="D12" s="15"/>
      <c r="E12" s="15"/>
      <c r="F12" s="15"/>
      <c r="G12" s="15"/>
      <c r="H12" s="15"/>
      <c r="I12" s="15"/>
      <c r="J12" s="9" t="str">
        <f t="shared" si="0"/>
        <v/>
      </c>
      <c r="K12" s="16"/>
    </row>
    <row r="13" spans="1:11" x14ac:dyDescent="0.35">
      <c r="A13" s="10">
        <f>'Time &amp; Penalties'!A20</f>
        <v>9</v>
      </c>
      <c r="B13" s="6" t="str">
        <f>IF('Time &amp; Penalties'!B20="","",'Time &amp; Penalties'!B20)</f>
        <v/>
      </c>
      <c r="C13" s="6" t="str">
        <f>IF('Time &amp; Penalties'!C20="","",'Time &amp; Penalties'!C20)</f>
        <v/>
      </c>
      <c r="D13" s="15"/>
      <c r="E13" s="15"/>
      <c r="F13" s="15"/>
      <c r="G13" s="15"/>
      <c r="H13" s="15"/>
      <c r="I13" s="15"/>
      <c r="J13" s="9" t="str">
        <f t="shared" si="0"/>
        <v/>
      </c>
      <c r="K13" s="16"/>
    </row>
    <row r="14" spans="1:11" x14ac:dyDescent="0.35">
      <c r="A14" s="10">
        <f>'Time &amp; Penalties'!A21</f>
        <v>10</v>
      </c>
      <c r="B14" s="6" t="str">
        <f>IF('Time &amp; Penalties'!B21="","",'Time &amp; Penalties'!B21)</f>
        <v/>
      </c>
      <c r="C14" s="6" t="str">
        <f>IF('Time &amp; Penalties'!C21="","",'Time &amp; Penalties'!C21)</f>
        <v/>
      </c>
      <c r="D14" s="15"/>
      <c r="E14" s="15"/>
      <c r="F14" s="15"/>
      <c r="G14" s="15"/>
      <c r="H14" s="15"/>
      <c r="I14" s="15"/>
      <c r="J14" s="9" t="str">
        <f t="shared" si="0"/>
        <v/>
      </c>
      <c r="K14" s="16"/>
    </row>
    <row r="15" spans="1:11" x14ac:dyDescent="0.35">
      <c r="A15" s="10">
        <f>'Time &amp; Penalties'!A22</f>
        <v>11</v>
      </c>
      <c r="B15" s="6" t="str">
        <f>IF('Time &amp; Penalties'!B22="","",'Time &amp; Penalties'!B22)</f>
        <v/>
      </c>
      <c r="C15" s="6" t="str">
        <f>IF('Time &amp; Penalties'!C22="","",'Time &amp; Penalties'!C22)</f>
        <v/>
      </c>
      <c r="D15" s="15"/>
      <c r="E15" s="15"/>
      <c r="F15" s="15"/>
      <c r="G15" s="15"/>
      <c r="H15" s="15"/>
      <c r="I15" s="15"/>
      <c r="J15" s="9" t="str">
        <f t="shared" si="0"/>
        <v/>
      </c>
      <c r="K15" s="16"/>
    </row>
    <row r="16" spans="1:11" x14ac:dyDescent="0.35">
      <c r="A16" s="10">
        <f>'Time &amp; Penalties'!A23</f>
        <v>12</v>
      </c>
      <c r="B16" s="6" t="str">
        <f>IF('Time &amp; Penalties'!B23="","",'Time &amp; Penalties'!B23)</f>
        <v/>
      </c>
      <c r="C16" s="6" t="str">
        <f>IF('Time &amp; Penalties'!C23="","",'Time &amp; Penalties'!C23)</f>
        <v/>
      </c>
      <c r="D16" s="15"/>
      <c r="E16" s="15"/>
      <c r="F16" s="15"/>
      <c r="G16" s="15"/>
      <c r="H16" s="15"/>
      <c r="I16" s="15"/>
      <c r="J16" s="9" t="str">
        <f t="shared" si="0"/>
        <v/>
      </c>
      <c r="K16" s="16"/>
    </row>
    <row r="17" spans="1:11" x14ac:dyDescent="0.35">
      <c r="A17" s="10">
        <f>'Time &amp; Penalties'!A24</f>
        <v>13</v>
      </c>
      <c r="B17" s="6" t="str">
        <f>IF('Time &amp; Penalties'!B24="","",'Time &amp; Penalties'!B24)</f>
        <v/>
      </c>
      <c r="C17" s="6" t="str">
        <f>IF('Time &amp; Penalties'!C24="","",'Time &amp; Penalties'!C24)</f>
        <v/>
      </c>
      <c r="D17" s="15"/>
      <c r="E17" s="15"/>
      <c r="F17" s="15"/>
      <c r="G17" s="15"/>
      <c r="H17" s="15"/>
      <c r="I17" s="15"/>
      <c r="J17" s="9" t="str">
        <f t="shared" si="0"/>
        <v/>
      </c>
      <c r="K17" s="16"/>
    </row>
    <row r="18" spans="1:11" x14ac:dyDescent="0.35">
      <c r="A18" s="10">
        <f>'Time &amp; Penalties'!A25</f>
        <v>14</v>
      </c>
      <c r="B18" s="6" t="str">
        <f>IF('Time &amp; Penalties'!B25="","",'Time &amp; Penalties'!B25)</f>
        <v/>
      </c>
      <c r="C18" s="6" t="str">
        <f>IF('Time &amp; Penalties'!C25="","",'Time &amp; Penalties'!C25)</f>
        <v/>
      </c>
      <c r="D18" s="15"/>
      <c r="E18" s="15"/>
      <c r="F18" s="15"/>
      <c r="G18" s="15"/>
      <c r="H18" s="15"/>
      <c r="I18" s="15"/>
      <c r="J18" s="9" t="str">
        <f t="shared" si="0"/>
        <v/>
      </c>
      <c r="K18" s="16"/>
    </row>
    <row r="19" spans="1:11" x14ac:dyDescent="0.35">
      <c r="A19" s="10">
        <f>'Time &amp; Penalties'!A26</f>
        <v>15</v>
      </c>
      <c r="B19" s="6" t="str">
        <f>IF('Time &amp; Penalties'!B26="","",'Time &amp; Penalties'!B26)</f>
        <v/>
      </c>
      <c r="C19" s="6" t="str">
        <f>IF('Time &amp; Penalties'!C26="","",'Time &amp; Penalties'!C26)</f>
        <v/>
      </c>
      <c r="D19" s="15"/>
      <c r="E19" s="15"/>
      <c r="F19" s="15"/>
      <c r="G19" s="15"/>
      <c r="H19" s="15"/>
      <c r="I19" s="15"/>
      <c r="J19" s="9" t="str">
        <f t="shared" si="0"/>
        <v/>
      </c>
      <c r="K19" s="16"/>
    </row>
    <row r="20" spans="1:11" x14ac:dyDescent="0.35">
      <c r="A20" s="10">
        <f>'Time &amp; Penalties'!A27</f>
        <v>16</v>
      </c>
      <c r="B20" s="6" t="str">
        <f>IF('Time &amp; Penalties'!B27="","",'Time &amp; Penalties'!B27)</f>
        <v/>
      </c>
      <c r="C20" s="6" t="str">
        <f>IF('Time &amp; Penalties'!C27="","",'Time &amp; Penalties'!C27)</f>
        <v/>
      </c>
      <c r="D20" s="15"/>
      <c r="E20" s="15"/>
      <c r="F20" s="15"/>
      <c r="G20" s="15"/>
      <c r="H20" s="15"/>
      <c r="I20" s="15"/>
      <c r="J20" s="9" t="str">
        <f t="shared" si="0"/>
        <v/>
      </c>
      <c r="K20" s="16"/>
    </row>
    <row r="21" spans="1:11" x14ac:dyDescent="0.35">
      <c r="A21" s="10">
        <f>'Time &amp; Penalties'!A28</f>
        <v>17</v>
      </c>
      <c r="B21" s="6" t="str">
        <f>IF('Time &amp; Penalties'!B28="","",'Time &amp; Penalties'!B28)</f>
        <v/>
      </c>
      <c r="C21" s="6" t="str">
        <f>IF('Time &amp; Penalties'!C28="","",'Time &amp; Penalties'!C28)</f>
        <v/>
      </c>
      <c r="D21" s="15"/>
      <c r="E21" s="15"/>
      <c r="F21" s="15"/>
      <c r="G21" s="15"/>
      <c r="H21" s="15"/>
      <c r="I21" s="15"/>
      <c r="J21" s="9" t="str">
        <f t="shared" si="0"/>
        <v/>
      </c>
      <c r="K21" s="16"/>
    </row>
    <row r="22" spans="1:11" x14ac:dyDescent="0.35">
      <c r="A22" s="10">
        <f>'Time &amp; Penalties'!A29</f>
        <v>18</v>
      </c>
      <c r="B22" s="6" t="str">
        <f>IF('Time &amp; Penalties'!B29="","",'Time &amp; Penalties'!B29)</f>
        <v/>
      </c>
      <c r="C22" s="6" t="str">
        <f>IF('Time &amp; Penalties'!C29="","",'Time &amp; Penalties'!C29)</f>
        <v/>
      </c>
      <c r="D22" s="15"/>
      <c r="E22" s="15"/>
      <c r="F22" s="15"/>
      <c r="G22" s="15"/>
      <c r="H22" s="15"/>
      <c r="I22" s="15"/>
      <c r="J22" s="9" t="str">
        <f t="shared" si="0"/>
        <v/>
      </c>
      <c r="K22" s="16"/>
    </row>
    <row r="23" spans="1:11" x14ac:dyDescent="0.35">
      <c r="A23" s="10">
        <f>'Time &amp; Penalties'!A30</f>
        <v>19</v>
      </c>
      <c r="B23" s="6" t="str">
        <f>IF('Time &amp; Penalties'!B30="","",'Time &amp; Penalties'!B30)</f>
        <v/>
      </c>
      <c r="C23" s="6" t="str">
        <f>IF('Time &amp; Penalties'!C30="","",'Time &amp; Penalties'!C30)</f>
        <v/>
      </c>
      <c r="D23" s="15"/>
      <c r="E23" s="15"/>
      <c r="F23" s="15"/>
      <c r="G23" s="15"/>
      <c r="H23" s="15"/>
      <c r="I23" s="15"/>
      <c r="J23" s="9" t="str">
        <f t="shared" si="0"/>
        <v/>
      </c>
      <c r="K23" s="16"/>
    </row>
    <row r="24" spans="1:11" x14ac:dyDescent="0.35">
      <c r="A24" s="10">
        <f>'Time &amp; Penalties'!A31</f>
        <v>20</v>
      </c>
      <c r="B24" s="6" t="str">
        <f>IF('Time &amp; Penalties'!B31="","",'Time &amp; Penalties'!B31)</f>
        <v/>
      </c>
      <c r="C24" s="6" t="str">
        <f>IF('Time &amp; Penalties'!C31="","",'Time &amp; Penalties'!C31)</f>
        <v/>
      </c>
      <c r="D24" s="15"/>
      <c r="E24" s="15"/>
      <c r="F24" s="15"/>
      <c r="G24" s="15"/>
      <c r="H24" s="15"/>
      <c r="I24" s="15"/>
      <c r="J24" s="9" t="str">
        <f t="shared" si="0"/>
        <v/>
      </c>
      <c r="K24" s="16"/>
    </row>
  </sheetData>
  <dataValidations count="4">
    <dataValidation type="decimal" showErrorMessage="1" error="Enter 0 to 20" sqref="D5:D24 F5:F24" xr:uid="{00000000-0002-0000-0300-000000000000}">
      <formula1>0</formula1>
      <formula2>20</formula2>
    </dataValidation>
    <dataValidation type="decimal" showErrorMessage="1" error="Enter 0 to 25" sqref="E5:E24" xr:uid="{00000000-0002-0000-0300-000001000000}">
      <formula1>0</formula1>
      <formula2>25</formula2>
    </dataValidation>
    <dataValidation type="decimal" showErrorMessage="1" error="Enter 0 to 15" sqref="G5:G24" xr:uid="{00000000-0002-0000-0300-000002000000}">
      <formula1>0</formula1>
      <formula2>15</formula2>
    </dataValidation>
    <dataValidation type="decimal" showErrorMessage="1" error="Enter 0 to 10" sqref="H5:I24" xr:uid="{00000000-0002-0000-0300-000003000000}">
      <formula1>0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28" customWidth="1"/>
    <col min="3" max="3" width="24" customWidth="1"/>
    <col min="4" max="6" width="13" customWidth="1"/>
    <col min="7" max="7" width="15" customWidth="1"/>
    <col min="8" max="8" width="14" customWidth="1"/>
    <col min="9" max="9" width="12" customWidth="1"/>
    <col min="10" max="10" width="13" customWidth="1"/>
    <col min="11" max="11" width="40" customWidth="1"/>
  </cols>
  <sheetData>
    <row r="1" spans="1:11" ht="18" x14ac:dyDescent="0.4">
      <c r="A1" s="1" t="s">
        <v>102</v>
      </c>
    </row>
    <row r="2" spans="1:11" x14ac:dyDescent="0.35">
      <c r="A2" s="2" t="s">
        <v>92</v>
      </c>
    </row>
    <row r="3" spans="1:11" x14ac:dyDescent="0.35">
      <c r="A3" s="17" t="s">
        <v>93</v>
      </c>
      <c r="B3" s="18"/>
    </row>
    <row r="4" spans="1:11" ht="48" customHeight="1" x14ac:dyDescent="0.35">
      <c r="A4" s="3" t="s">
        <v>57</v>
      </c>
      <c r="B4" s="3" t="s">
        <v>58</v>
      </c>
      <c r="C4" s="3" t="s">
        <v>59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</row>
    <row r="5" spans="1:11" x14ac:dyDescent="0.35">
      <c r="A5" s="10">
        <f>'Time &amp; Penalties'!A12</f>
        <v>1</v>
      </c>
      <c r="B5" s="6" t="str">
        <f>IF('Time &amp; Penalties'!B12="","",'Time &amp; Penalties'!B12)</f>
        <v>Sample - Aarav Sharma</v>
      </c>
      <c r="C5" s="6" t="str">
        <f>IF('Time &amp; Penalties'!C12="","",'Time &amp; Penalties'!C12)</f>
        <v>Delhi Public School</v>
      </c>
      <c r="D5" s="15">
        <v>17</v>
      </c>
      <c r="E5" s="15">
        <v>21</v>
      </c>
      <c r="F5" s="15">
        <v>16</v>
      </c>
      <c r="G5" s="15">
        <v>12</v>
      </c>
      <c r="H5" s="15">
        <v>9</v>
      </c>
      <c r="I5" s="15">
        <v>8</v>
      </c>
      <c r="J5" s="9">
        <f t="shared" ref="J5:J24" si="0">IF(COUNT(D5:I5)=0,"",SUM(D5:I5))</f>
        <v>83</v>
      </c>
      <c r="K5" s="16"/>
    </row>
    <row r="6" spans="1:11" x14ac:dyDescent="0.35">
      <c r="A6" s="10">
        <f>'Time &amp; Penalties'!A13</f>
        <v>2</v>
      </c>
      <c r="B6" s="6" t="str">
        <f>IF('Time &amp; Penalties'!B13="","",'Time &amp; Penalties'!B13)</f>
        <v/>
      </c>
      <c r="C6" s="6" t="str">
        <f>IF('Time &amp; Penalties'!C13="","",'Time &amp; Penalties'!C13)</f>
        <v/>
      </c>
      <c r="D6" s="15"/>
      <c r="E6" s="15"/>
      <c r="F6" s="15"/>
      <c r="G6" s="15"/>
      <c r="H6" s="15"/>
      <c r="I6" s="15"/>
      <c r="J6" s="9" t="str">
        <f t="shared" si="0"/>
        <v/>
      </c>
      <c r="K6" s="16"/>
    </row>
    <row r="7" spans="1:11" x14ac:dyDescent="0.35">
      <c r="A7" s="10">
        <f>'Time &amp; Penalties'!A14</f>
        <v>3</v>
      </c>
      <c r="B7" s="6" t="str">
        <f>IF('Time &amp; Penalties'!B14="","",'Time &amp; Penalties'!B14)</f>
        <v/>
      </c>
      <c r="C7" s="6" t="str">
        <f>IF('Time &amp; Penalties'!C14="","",'Time &amp; Penalties'!C14)</f>
        <v/>
      </c>
      <c r="D7" s="15"/>
      <c r="E7" s="15"/>
      <c r="F7" s="15"/>
      <c r="G7" s="15"/>
      <c r="H7" s="15"/>
      <c r="I7" s="15"/>
      <c r="J7" s="9" t="str">
        <f t="shared" si="0"/>
        <v/>
      </c>
      <c r="K7" s="16"/>
    </row>
    <row r="8" spans="1:11" x14ac:dyDescent="0.35">
      <c r="A8" s="10">
        <f>'Time &amp; Penalties'!A15</f>
        <v>4</v>
      </c>
      <c r="B8" s="6" t="str">
        <f>IF('Time &amp; Penalties'!B15="","",'Time &amp; Penalties'!B15)</f>
        <v/>
      </c>
      <c r="C8" s="6" t="str">
        <f>IF('Time &amp; Penalties'!C15="","",'Time &amp; Penalties'!C15)</f>
        <v/>
      </c>
      <c r="D8" s="15"/>
      <c r="E8" s="15"/>
      <c r="F8" s="15"/>
      <c r="G8" s="15"/>
      <c r="H8" s="15"/>
      <c r="I8" s="15"/>
      <c r="J8" s="9" t="str">
        <f t="shared" si="0"/>
        <v/>
      </c>
      <c r="K8" s="16"/>
    </row>
    <row r="9" spans="1:11" x14ac:dyDescent="0.35">
      <c r="A9" s="10">
        <f>'Time &amp; Penalties'!A16</f>
        <v>5</v>
      </c>
      <c r="B9" s="6" t="str">
        <f>IF('Time &amp; Penalties'!B16="","",'Time &amp; Penalties'!B16)</f>
        <v/>
      </c>
      <c r="C9" s="6" t="str">
        <f>IF('Time &amp; Penalties'!C16="","",'Time &amp; Penalties'!C16)</f>
        <v/>
      </c>
      <c r="D9" s="15"/>
      <c r="E9" s="15"/>
      <c r="F9" s="15"/>
      <c r="G9" s="15"/>
      <c r="H9" s="15"/>
      <c r="I9" s="15"/>
      <c r="J9" s="9" t="str">
        <f t="shared" si="0"/>
        <v/>
      </c>
      <c r="K9" s="16"/>
    </row>
    <row r="10" spans="1:11" x14ac:dyDescent="0.35">
      <c r="A10" s="10">
        <f>'Time &amp; Penalties'!A17</f>
        <v>6</v>
      </c>
      <c r="B10" s="6" t="str">
        <f>IF('Time &amp; Penalties'!B17="","",'Time &amp; Penalties'!B17)</f>
        <v/>
      </c>
      <c r="C10" s="6" t="str">
        <f>IF('Time &amp; Penalties'!C17="","",'Time &amp; Penalties'!C17)</f>
        <v/>
      </c>
      <c r="D10" s="15"/>
      <c r="E10" s="15"/>
      <c r="F10" s="15"/>
      <c r="G10" s="15"/>
      <c r="H10" s="15"/>
      <c r="I10" s="15"/>
      <c r="J10" s="9" t="str">
        <f t="shared" si="0"/>
        <v/>
      </c>
      <c r="K10" s="16"/>
    </row>
    <row r="11" spans="1:11" x14ac:dyDescent="0.35">
      <c r="A11" s="10">
        <f>'Time &amp; Penalties'!A18</f>
        <v>7</v>
      </c>
      <c r="B11" s="6" t="str">
        <f>IF('Time &amp; Penalties'!B18="","",'Time &amp; Penalties'!B18)</f>
        <v/>
      </c>
      <c r="C11" s="6" t="str">
        <f>IF('Time &amp; Penalties'!C18="","",'Time &amp; Penalties'!C18)</f>
        <v/>
      </c>
      <c r="D11" s="15"/>
      <c r="E11" s="15"/>
      <c r="F11" s="15"/>
      <c r="G11" s="15"/>
      <c r="H11" s="15"/>
      <c r="I11" s="15"/>
      <c r="J11" s="9" t="str">
        <f t="shared" si="0"/>
        <v/>
      </c>
      <c r="K11" s="16"/>
    </row>
    <row r="12" spans="1:11" x14ac:dyDescent="0.35">
      <c r="A12" s="10">
        <f>'Time &amp; Penalties'!A19</f>
        <v>8</v>
      </c>
      <c r="B12" s="6" t="str">
        <f>IF('Time &amp; Penalties'!B19="","",'Time &amp; Penalties'!B19)</f>
        <v/>
      </c>
      <c r="C12" s="6" t="str">
        <f>IF('Time &amp; Penalties'!C19="","",'Time &amp; Penalties'!C19)</f>
        <v/>
      </c>
      <c r="D12" s="15"/>
      <c r="E12" s="15"/>
      <c r="F12" s="15"/>
      <c r="G12" s="15"/>
      <c r="H12" s="15"/>
      <c r="I12" s="15"/>
      <c r="J12" s="9" t="str">
        <f t="shared" si="0"/>
        <v/>
      </c>
      <c r="K12" s="16"/>
    </row>
    <row r="13" spans="1:11" x14ac:dyDescent="0.35">
      <c r="A13" s="10">
        <f>'Time &amp; Penalties'!A20</f>
        <v>9</v>
      </c>
      <c r="B13" s="6" t="str">
        <f>IF('Time &amp; Penalties'!B20="","",'Time &amp; Penalties'!B20)</f>
        <v/>
      </c>
      <c r="C13" s="6" t="str">
        <f>IF('Time &amp; Penalties'!C20="","",'Time &amp; Penalties'!C20)</f>
        <v/>
      </c>
      <c r="D13" s="15"/>
      <c r="E13" s="15"/>
      <c r="F13" s="15"/>
      <c r="G13" s="15"/>
      <c r="H13" s="15"/>
      <c r="I13" s="15"/>
      <c r="J13" s="9" t="str">
        <f t="shared" si="0"/>
        <v/>
      </c>
      <c r="K13" s="16"/>
    </row>
    <row r="14" spans="1:11" x14ac:dyDescent="0.35">
      <c r="A14" s="10">
        <f>'Time &amp; Penalties'!A21</f>
        <v>10</v>
      </c>
      <c r="B14" s="6" t="str">
        <f>IF('Time &amp; Penalties'!B21="","",'Time &amp; Penalties'!B21)</f>
        <v/>
      </c>
      <c r="C14" s="6" t="str">
        <f>IF('Time &amp; Penalties'!C21="","",'Time &amp; Penalties'!C21)</f>
        <v/>
      </c>
      <c r="D14" s="15"/>
      <c r="E14" s="15"/>
      <c r="F14" s="15"/>
      <c r="G14" s="15"/>
      <c r="H14" s="15"/>
      <c r="I14" s="15"/>
      <c r="J14" s="9" t="str">
        <f t="shared" si="0"/>
        <v/>
      </c>
      <c r="K14" s="16"/>
    </row>
    <row r="15" spans="1:11" x14ac:dyDescent="0.35">
      <c r="A15" s="10">
        <f>'Time &amp; Penalties'!A22</f>
        <v>11</v>
      </c>
      <c r="B15" s="6" t="str">
        <f>IF('Time &amp; Penalties'!B22="","",'Time &amp; Penalties'!B22)</f>
        <v/>
      </c>
      <c r="C15" s="6" t="str">
        <f>IF('Time &amp; Penalties'!C22="","",'Time &amp; Penalties'!C22)</f>
        <v/>
      </c>
      <c r="D15" s="15"/>
      <c r="E15" s="15"/>
      <c r="F15" s="15"/>
      <c r="G15" s="15"/>
      <c r="H15" s="15"/>
      <c r="I15" s="15"/>
      <c r="J15" s="9" t="str">
        <f t="shared" si="0"/>
        <v/>
      </c>
      <c r="K15" s="16"/>
    </row>
    <row r="16" spans="1:11" x14ac:dyDescent="0.35">
      <c r="A16" s="10">
        <f>'Time &amp; Penalties'!A23</f>
        <v>12</v>
      </c>
      <c r="B16" s="6" t="str">
        <f>IF('Time &amp; Penalties'!B23="","",'Time &amp; Penalties'!B23)</f>
        <v/>
      </c>
      <c r="C16" s="6" t="str">
        <f>IF('Time &amp; Penalties'!C23="","",'Time &amp; Penalties'!C23)</f>
        <v/>
      </c>
      <c r="D16" s="15"/>
      <c r="E16" s="15"/>
      <c r="F16" s="15"/>
      <c r="G16" s="15"/>
      <c r="H16" s="15"/>
      <c r="I16" s="15"/>
      <c r="J16" s="9" t="str">
        <f t="shared" si="0"/>
        <v/>
      </c>
      <c r="K16" s="16"/>
    </row>
    <row r="17" spans="1:11" x14ac:dyDescent="0.35">
      <c r="A17" s="10">
        <f>'Time &amp; Penalties'!A24</f>
        <v>13</v>
      </c>
      <c r="B17" s="6" t="str">
        <f>IF('Time &amp; Penalties'!B24="","",'Time &amp; Penalties'!B24)</f>
        <v/>
      </c>
      <c r="C17" s="6" t="str">
        <f>IF('Time &amp; Penalties'!C24="","",'Time &amp; Penalties'!C24)</f>
        <v/>
      </c>
      <c r="D17" s="15"/>
      <c r="E17" s="15"/>
      <c r="F17" s="15"/>
      <c r="G17" s="15"/>
      <c r="H17" s="15"/>
      <c r="I17" s="15"/>
      <c r="J17" s="9" t="str">
        <f t="shared" si="0"/>
        <v/>
      </c>
      <c r="K17" s="16"/>
    </row>
    <row r="18" spans="1:11" x14ac:dyDescent="0.35">
      <c r="A18" s="10">
        <f>'Time &amp; Penalties'!A25</f>
        <v>14</v>
      </c>
      <c r="B18" s="6" t="str">
        <f>IF('Time &amp; Penalties'!B25="","",'Time &amp; Penalties'!B25)</f>
        <v/>
      </c>
      <c r="C18" s="6" t="str">
        <f>IF('Time &amp; Penalties'!C25="","",'Time &amp; Penalties'!C25)</f>
        <v/>
      </c>
      <c r="D18" s="15"/>
      <c r="E18" s="15"/>
      <c r="F18" s="15"/>
      <c r="G18" s="15"/>
      <c r="H18" s="15"/>
      <c r="I18" s="15"/>
      <c r="J18" s="9" t="str">
        <f t="shared" si="0"/>
        <v/>
      </c>
      <c r="K18" s="16"/>
    </row>
    <row r="19" spans="1:11" x14ac:dyDescent="0.35">
      <c r="A19" s="10">
        <f>'Time &amp; Penalties'!A26</f>
        <v>15</v>
      </c>
      <c r="B19" s="6" t="str">
        <f>IF('Time &amp; Penalties'!B26="","",'Time &amp; Penalties'!B26)</f>
        <v/>
      </c>
      <c r="C19" s="6" t="str">
        <f>IF('Time &amp; Penalties'!C26="","",'Time &amp; Penalties'!C26)</f>
        <v/>
      </c>
      <c r="D19" s="15"/>
      <c r="E19" s="15"/>
      <c r="F19" s="15"/>
      <c r="G19" s="15"/>
      <c r="H19" s="15"/>
      <c r="I19" s="15"/>
      <c r="J19" s="9" t="str">
        <f t="shared" si="0"/>
        <v/>
      </c>
      <c r="K19" s="16"/>
    </row>
    <row r="20" spans="1:11" x14ac:dyDescent="0.35">
      <c r="A20" s="10">
        <f>'Time &amp; Penalties'!A27</f>
        <v>16</v>
      </c>
      <c r="B20" s="6" t="str">
        <f>IF('Time &amp; Penalties'!B27="","",'Time &amp; Penalties'!B27)</f>
        <v/>
      </c>
      <c r="C20" s="6" t="str">
        <f>IF('Time &amp; Penalties'!C27="","",'Time &amp; Penalties'!C27)</f>
        <v/>
      </c>
      <c r="D20" s="15"/>
      <c r="E20" s="15"/>
      <c r="F20" s="15"/>
      <c r="G20" s="15"/>
      <c r="H20" s="15"/>
      <c r="I20" s="15"/>
      <c r="J20" s="9" t="str">
        <f t="shared" si="0"/>
        <v/>
      </c>
      <c r="K20" s="16"/>
    </row>
    <row r="21" spans="1:11" x14ac:dyDescent="0.35">
      <c r="A21" s="10">
        <f>'Time &amp; Penalties'!A28</f>
        <v>17</v>
      </c>
      <c r="B21" s="6" t="str">
        <f>IF('Time &amp; Penalties'!B28="","",'Time &amp; Penalties'!B28)</f>
        <v/>
      </c>
      <c r="C21" s="6" t="str">
        <f>IF('Time &amp; Penalties'!C28="","",'Time &amp; Penalties'!C28)</f>
        <v/>
      </c>
      <c r="D21" s="15"/>
      <c r="E21" s="15"/>
      <c r="F21" s="15"/>
      <c r="G21" s="15"/>
      <c r="H21" s="15"/>
      <c r="I21" s="15"/>
      <c r="J21" s="9" t="str">
        <f t="shared" si="0"/>
        <v/>
      </c>
      <c r="K21" s="16"/>
    </row>
    <row r="22" spans="1:11" x14ac:dyDescent="0.35">
      <c r="A22" s="10">
        <f>'Time &amp; Penalties'!A29</f>
        <v>18</v>
      </c>
      <c r="B22" s="6" t="str">
        <f>IF('Time &amp; Penalties'!B29="","",'Time &amp; Penalties'!B29)</f>
        <v/>
      </c>
      <c r="C22" s="6" t="str">
        <f>IF('Time &amp; Penalties'!C29="","",'Time &amp; Penalties'!C29)</f>
        <v/>
      </c>
      <c r="D22" s="15"/>
      <c r="E22" s="15"/>
      <c r="F22" s="15"/>
      <c r="G22" s="15"/>
      <c r="H22" s="15"/>
      <c r="I22" s="15"/>
      <c r="J22" s="9" t="str">
        <f t="shared" si="0"/>
        <v/>
      </c>
      <c r="K22" s="16"/>
    </row>
    <row r="23" spans="1:11" x14ac:dyDescent="0.35">
      <c r="A23" s="10">
        <f>'Time &amp; Penalties'!A30</f>
        <v>19</v>
      </c>
      <c r="B23" s="6" t="str">
        <f>IF('Time &amp; Penalties'!B30="","",'Time &amp; Penalties'!B30)</f>
        <v/>
      </c>
      <c r="C23" s="6" t="str">
        <f>IF('Time &amp; Penalties'!C30="","",'Time &amp; Penalties'!C30)</f>
        <v/>
      </c>
      <c r="D23" s="15"/>
      <c r="E23" s="15"/>
      <c r="F23" s="15"/>
      <c r="G23" s="15"/>
      <c r="H23" s="15"/>
      <c r="I23" s="15"/>
      <c r="J23" s="9" t="str">
        <f t="shared" si="0"/>
        <v/>
      </c>
      <c r="K23" s="16"/>
    </row>
    <row r="24" spans="1:11" x14ac:dyDescent="0.35">
      <c r="A24" s="10">
        <f>'Time &amp; Penalties'!A31</f>
        <v>20</v>
      </c>
      <c r="B24" s="6" t="str">
        <f>IF('Time &amp; Penalties'!B31="","",'Time &amp; Penalties'!B31)</f>
        <v/>
      </c>
      <c r="C24" s="6" t="str">
        <f>IF('Time &amp; Penalties'!C31="","",'Time &amp; Penalties'!C31)</f>
        <v/>
      </c>
      <c r="D24" s="15"/>
      <c r="E24" s="15"/>
      <c r="F24" s="15"/>
      <c r="G24" s="15"/>
      <c r="H24" s="15"/>
      <c r="I24" s="15"/>
      <c r="J24" s="9" t="str">
        <f t="shared" si="0"/>
        <v/>
      </c>
      <c r="K24" s="16"/>
    </row>
  </sheetData>
  <dataValidations count="4">
    <dataValidation type="decimal" showErrorMessage="1" error="Enter 0 to 20" sqref="D5:D24 F5:F24" xr:uid="{00000000-0002-0000-0400-000000000000}">
      <formula1>0</formula1>
      <formula2>20</formula2>
    </dataValidation>
    <dataValidation type="decimal" showErrorMessage="1" error="Enter 0 to 25" sqref="E5:E24" xr:uid="{00000000-0002-0000-0400-000001000000}">
      <formula1>0</formula1>
      <formula2>25</formula2>
    </dataValidation>
    <dataValidation type="decimal" showErrorMessage="1" error="Enter 0 to 15" sqref="G5:G24" xr:uid="{00000000-0002-0000-0400-000002000000}">
      <formula1>0</formula1>
      <formula2>15</formula2>
    </dataValidation>
    <dataValidation type="decimal" showErrorMessage="1" error="Enter 0 to 10" sqref="H5:I24" xr:uid="{00000000-0002-0000-0400-000003000000}">
      <formula1>0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28" customWidth="1"/>
    <col min="3" max="3" width="24" customWidth="1"/>
    <col min="4" max="6" width="13" customWidth="1"/>
    <col min="7" max="7" width="15" customWidth="1"/>
    <col min="8" max="8" width="14" customWidth="1"/>
    <col min="9" max="9" width="12" customWidth="1"/>
    <col min="10" max="10" width="13" customWidth="1"/>
    <col min="11" max="11" width="40" customWidth="1"/>
  </cols>
  <sheetData>
    <row r="1" spans="1:11" ht="18" x14ac:dyDescent="0.4">
      <c r="A1" s="1" t="s">
        <v>103</v>
      </c>
    </row>
    <row r="2" spans="1:11" x14ac:dyDescent="0.35">
      <c r="A2" s="2" t="s">
        <v>92</v>
      </c>
    </row>
    <row r="3" spans="1:11" x14ac:dyDescent="0.35">
      <c r="A3" s="17" t="s">
        <v>93</v>
      </c>
      <c r="B3" s="18"/>
    </row>
    <row r="4" spans="1:11" ht="48" customHeight="1" x14ac:dyDescent="0.35">
      <c r="A4" s="3" t="s">
        <v>57</v>
      </c>
      <c r="B4" s="3" t="s">
        <v>58</v>
      </c>
      <c r="C4" s="3" t="s">
        <v>59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</row>
    <row r="5" spans="1:11" x14ac:dyDescent="0.35">
      <c r="A5" s="10">
        <f>'Time &amp; Penalties'!A12</f>
        <v>1</v>
      </c>
      <c r="B5" s="6" t="str">
        <f>IF('Time &amp; Penalties'!B12="","",'Time &amp; Penalties'!B12)</f>
        <v>Sample - Aarav Sharma</v>
      </c>
      <c r="C5" s="6" t="str">
        <f>IF('Time &amp; Penalties'!C12="","",'Time &amp; Penalties'!C12)</f>
        <v>Delhi Public School</v>
      </c>
      <c r="D5" s="15">
        <v>18</v>
      </c>
      <c r="E5" s="15">
        <v>21</v>
      </c>
      <c r="F5" s="15">
        <v>17</v>
      </c>
      <c r="G5" s="15">
        <v>12</v>
      </c>
      <c r="H5" s="15">
        <v>10</v>
      </c>
      <c r="I5" s="15">
        <v>8</v>
      </c>
      <c r="J5" s="9">
        <f t="shared" ref="J5:J24" si="0">IF(COUNT(D5:I5)=0,"",SUM(D5:I5))</f>
        <v>86</v>
      </c>
      <c r="K5" s="16"/>
    </row>
    <row r="6" spans="1:11" x14ac:dyDescent="0.35">
      <c r="A6" s="10">
        <f>'Time &amp; Penalties'!A13</f>
        <v>2</v>
      </c>
      <c r="B6" s="6" t="str">
        <f>IF('Time &amp; Penalties'!B13="","",'Time &amp; Penalties'!B13)</f>
        <v/>
      </c>
      <c r="C6" s="6" t="str">
        <f>IF('Time &amp; Penalties'!C13="","",'Time &amp; Penalties'!C13)</f>
        <v/>
      </c>
      <c r="D6" s="15"/>
      <c r="E6" s="15"/>
      <c r="F6" s="15"/>
      <c r="G6" s="15"/>
      <c r="H6" s="15"/>
      <c r="I6" s="15"/>
      <c r="J6" s="9" t="str">
        <f t="shared" si="0"/>
        <v/>
      </c>
      <c r="K6" s="16"/>
    </row>
    <row r="7" spans="1:11" x14ac:dyDescent="0.35">
      <c r="A7" s="10">
        <f>'Time &amp; Penalties'!A14</f>
        <v>3</v>
      </c>
      <c r="B7" s="6" t="str">
        <f>IF('Time &amp; Penalties'!B14="","",'Time &amp; Penalties'!B14)</f>
        <v/>
      </c>
      <c r="C7" s="6" t="str">
        <f>IF('Time &amp; Penalties'!C14="","",'Time &amp; Penalties'!C14)</f>
        <v/>
      </c>
      <c r="D7" s="15"/>
      <c r="E7" s="15"/>
      <c r="F7" s="15"/>
      <c r="G7" s="15"/>
      <c r="H7" s="15"/>
      <c r="I7" s="15"/>
      <c r="J7" s="9" t="str">
        <f t="shared" si="0"/>
        <v/>
      </c>
      <c r="K7" s="16"/>
    </row>
    <row r="8" spans="1:11" x14ac:dyDescent="0.35">
      <c r="A8" s="10">
        <f>'Time &amp; Penalties'!A15</f>
        <v>4</v>
      </c>
      <c r="B8" s="6" t="str">
        <f>IF('Time &amp; Penalties'!B15="","",'Time &amp; Penalties'!B15)</f>
        <v/>
      </c>
      <c r="C8" s="6" t="str">
        <f>IF('Time &amp; Penalties'!C15="","",'Time &amp; Penalties'!C15)</f>
        <v/>
      </c>
      <c r="D8" s="15"/>
      <c r="E8" s="15"/>
      <c r="F8" s="15"/>
      <c r="G8" s="15"/>
      <c r="H8" s="15"/>
      <c r="I8" s="15"/>
      <c r="J8" s="9" t="str">
        <f t="shared" si="0"/>
        <v/>
      </c>
      <c r="K8" s="16"/>
    </row>
    <row r="9" spans="1:11" x14ac:dyDescent="0.35">
      <c r="A9" s="10">
        <f>'Time &amp; Penalties'!A16</f>
        <v>5</v>
      </c>
      <c r="B9" s="6" t="str">
        <f>IF('Time &amp; Penalties'!B16="","",'Time &amp; Penalties'!B16)</f>
        <v/>
      </c>
      <c r="C9" s="6" t="str">
        <f>IF('Time &amp; Penalties'!C16="","",'Time &amp; Penalties'!C16)</f>
        <v/>
      </c>
      <c r="D9" s="15"/>
      <c r="E9" s="15"/>
      <c r="F9" s="15"/>
      <c r="G9" s="15"/>
      <c r="H9" s="15"/>
      <c r="I9" s="15"/>
      <c r="J9" s="9" t="str">
        <f t="shared" si="0"/>
        <v/>
      </c>
      <c r="K9" s="16"/>
    </row>
    <row r="10" spans="1:11" x14ac:dyDescent="0.35">
      <c r="A10" s="10">
        <f>'Time &amp; Penalties'!A17</f>
        <v>6</v>
      </c>
      <c r="B10" s="6" t="str">
        <f>IF('Time &amp; Penalties'!B17="","",'Time &amp; Penalties'!B17)</f>
        <v/>
      </c>
      <c r="C10" s="6" t="str">
        <f>IF('Time &amp; Penalties'!C17="","",'Time &amp; Penalties'!C17)</f>
        <v/>
      </c>
      <c r="D10" s="15"/>
      <c r="E10" s="15"/>
      <c r="F10" s="15"/>
      <c r="G10" s="15"/>
      <c r="H10" s="15"/>
      <c r="I10" s="15"/>
      <c r="J10" s="9" t="str">
        <f t="shared" si="0"/>
        <v/>
      </c>
      <c r="K10" s="16"/>
    </row>
    <row r="11" spans="1:11" x14ac:dyDescent="0.35">
      <c r="A11" s="10">
        <f>'Time &amp; Penalties'!A18</f>
        <v>7</v>
      </c>
      <c r="B11" s="6" t="str">
        <f>IF('Time &amp; Penalties'!B18="","",'Time &amp; Penalties'!B18)</f>
        <v/>
      </c>
      <c r="C11" s="6" t="str">
        <f>IF('Time &amp; Penalties'!C18="","",'Time &amp; Penalties'!C18)</f>
        <v/>
      </c>
      <c r="D11" s="15"/>
      <c r="E11" s="15"/>
      <c r="F11" s="15"/>
      <c r="G11" s="15"/>
      <c r="H11" s="15"/>
      <c r="I11" s="15"/>
      <c r="J11" s="9" t="str">
        <f t="shared" si="0"/>
        <v/>
      </c>
      <c r="K11" s="16"/>
    </row>
    <row r="12" spans="1:11" x14ac:dyDescent="0.35">
      <c r="A12" s="10">
        <f>'Time &amp; Penalties'!A19</f>
        <v>8</v>
      </c>
      <c r="B12" s="6" t="str">
        <f>IF('Time &amp; Penalties'!B19="","",'Time &amp; Penalties'!B19)</f>
        <v/>
      </c>
      <c r="C12" s="6" t="str">
        <f>IF('Time &amp; Penalties'!C19="","",'Time &amp; Penalties'!C19)</f>
        <v/>
      </c>
      <c r="D12" s="15"/>
      <c r="E12" s="15"/>
      <c r="F12" s="15"/>
      <c r="G12" s="15"/>
      <c r="H12" s="15"/>
      <c r="I12" s="15"/>
      <c r="J12" s="9" t="str">
        <f t="shared" si="0"/>
        <v/>
      </c>
      <c r="K12" s="16"/>
    </row>
    <row r="13" spans="1:11" x14ac:dyDescent="0.35">
      <c r="A13" s="10">
        <f>'Time &amp; Penalties'!A20</f>
        <v>9</v>
      </c>
      <c r="B13" s="6" t="str">
        <f>IF('Time &amp; Penalties'!B20="","",'Time &amp; Penalties'!B20)</f>
        <v/>
      </c>
      <c r="C13" s="6" t="str">
        <f>IF('Time &amp; Penalties'!C20="","",'Time &amp; Penalties'!C20)</f>
        <v/>
      </c>
      <c r="D13" s="15"/>
      <c r="E13" s="15"/>
      <c r="F13" s="15"/>
      <c r="G13" s="15"/>
      <c r="H13" s="15"/>
      <c r="I13" s="15"/>
      <c r="J13" s="9" t="str">
        <f t="shared" si="0"/>
        <v/>
      </c>
      <c r="K13" s="16"/>
    </row>
    <row r="14" spans="1:11" x14ac:dyDescent="0.35">
      <c r="A14" s="10">
        <f>'Time &amp; Penalties'!A21</f>
        <v>10</v>
      </c>
      <c r="B14" s="6" t="str">
        <f>IF('Time &amp; Penalties'!B21="","",'Time &amp; Penalties'!B21)</f>
        <v/>
      </c>
      <c r="C14" s="6" t="str">
        <f>IF('Time &amp; Penalties'!C21="","",'Time &amp; Penalties'!C21)</f>
        <v/>
      </c>
      <c r="D14" s="15"/>
      <c r="E14" s="15"/>
      <c r="F14" s="15"/>
      <c r="G14" s="15"/>
      <c r="H14" s="15"/>
      <c r="I14" s="15"/>
      <c r="J14" s="9" t="str">
        <f t="shared" si="0"/>
        <v/>
      </c>
      <c r="K14" s="16"/>
    </row>
    <row r="15" spans="1:11" x14ac:dyDescent="0.35">
      <c r="A15" s="10">
        <f>'Time &amp; Penalties'!A22</f>
        <v>11</v>
      </c>
      <c r="B15" s="6" t="str">
        <f>IF('Time &amp; Penalties'!B22="","",'Time &amp; Penalties'!B22)</f>
        <v/>
      </c>
      <c r="C15" s="6" t="str">
        <f>IF('Time &amp; Penalties'!C22="","",'Time &amp; Penalties'!C22)</f>
        <v/>
      </c>
      <c r="D15" s="15"/>
      <c r="E15" s="15"/>
      <c r="F15" s="15"/>
      <c r="G15" s="15"/>
      <c r="H15" s="15"/>
      <c r="I15" s="15"/>
      <c r="J15" s="9" t="str">
        <f t="shared" si="0"/>
        <v/>
      </c>
      <c r="K15" s="16"/>
    </row>
    <row r="16" spans="1:11" x14ac:dyDescent="0.35">
      <c r="A16" s="10">
        <f>'Time &amp; Penalties'!A23</f>
        <v>12</v>
      </c>
      <c r="B16" s="6" t="str">
        <f>IF('Time &amp; Penalties'!B23="","",'Time &amp; Penalties'!B23)</f>
        <v/>
      </c>
      <c r="C16" s="6" t="str">
        <f>IF('Time &amp; Penalties'!C23="","",'Time &amp; Penalties'!C23)</f>
        <v/>
      </c>
      <c r="D16" s="15"/>
      <c r="E16" s="15"/>
      <c r="F16" s="15"/>
      <c r="G16" s="15"/>
      <c r="H16" s="15"/>
      <c r="I16" s="15"/>
      <c r="J16" s="9" t="str">
        <f t="shared" si="0"/>
        <v/>
      </c>
      <c r="K16" s="16"/>
    </row>
    <row r="17" spans="1:11" x14ac:dyDescent="0.35">
      <c r="A17" s="10">
        <f>'Time &amp; Penalties'!A24</f>
        <v>13</v>
      </c>
      <c r="B17" s="6" t="str">
        <f>IF('Time &amp; Penalties'!B24="","",'Time &amp; Penalties'!B24)</f>
        <v/>
      </c>
      <c r="C17" s="6" t="str">
        <f>IF('Time &amp; Penalties'!C24="","",'Time &amp; Penalties'!C24)</f>
        <v/>
      </c>
      <c r="D17" s="15"/>
      <c r="E17" s="15"/>
      <c r="F17" s="15"/>
      <c r="G17" s="15"/>
      <c r="H17" s="15"/>
      <c r="I17" s="15"/>
      <c r="J17" s="9" t="str">
        <f t="shared" si="0"/>
        <v/>
      </c>
      <c r="K17" s="16"/>
    </row>
    <row r="18" spans="1:11" x14ac:dyDescent="0.35">
      <c r="A18" s="10">
        <f>'Time &amp; Penalties'!A25</f>
        <v>14</v>
      </c>
      <c r="B18" s="6" t="str">
        <f>IF('Time &amp; Penalties'!B25="","",'Time &amp; Penalties'!B25)</f>
        <v/>
      </c>
      <c r="C18" s="6" t="str">
        <f>IF('Time &amp; Penalties'!C25="","",'Time &amp; Penalties'!C25)</f>
        <v/>
      </c>
      <c r="D18" s="15"/>
      <c r="E18" s="15"/>
      <c r="F18" s="15"/>
      <c r="G18" s="15"/>
      <c r="H18" s="15"/>
      <c r="I18" s="15"/>
      <c r="J18" s="9" t="str">
        <f t="shared" si="0"/>
        <v/>
      </c>
      <c r="K18" s="16"/>
    </row>
    <row r="19" spans="1:11" x14ac:dyDescent="0.35">
      <c r="A19" s="10">
        <f>'Time &amp; Penalties'!A26</f>
        <v>15</v>
      </c>
      <c r="B19" s="6" t="str">
        <f>IF('Time &amp; Penalties'!B26="","",'Time &amp; Penalties'!B26)</f>
        <v/>
      </c>
      <c r="C19" s="6" t="str">
        <f>IF('Time &amp; Penalties'!C26="","",'Time &amp; Penalties'!C26)</f>
        <v/>
      </c>
      <c r="D19" s="15"/>
      <c r="E19" s="15"/>
      <c r="F19" s="15"/>
      <c r="G19" s="15"/>
      <c r="H19" s="15"/>
      <c r="I19" s="15"/>
      <c r="J19" s="9" t="str">
        <f t="shared" si="0"/>
        <v/>
      </c>
      <c r="K19" s="16"/>
    </row>
    <row r="20" spans="1:11" x14ac:dyDescent="0.35">
      <c r="A20" s="10">
        <f>'Time &amp; Penalties'!A27</f>
        <v>16</v>
      </c>
      <c r="B20" s="6" t="str">
        <f>IF('Time &amp; Penalties'!B27="","",'Time &amp; Penalties'!B27)</f>
        <v/>
      </c>
      <c r="C20" s="6" t="str">
        <f>IF('Time &amp; Penalties'!C27="","",'Time &amp; Penalties'!C27)</f>
        <v/>
      </c>
      <c r="D20" s="15"/>
      <c r="E20" s="15"/>
      <c r="F20" s="15"/>
      <c r="G20" s="15"/>
      <c r="H20" s="15"/>
      <c r="I20" s="15"/>
      <c r="J20" s="9" t="str">
        <f t="shared" si="0"/>
        <v/>
      </c>
      <c r="K20" s="16"/>
    </row>
    <row r="21" spans="1:11" x14ac:dyDescent="0.35">
      <c r="A21" s="10">
        <f>'Time &amp; Penalties'!A28</f>
        <v>17</v>
      </c>
      <c r="B21" s="6" t="str">
        <f>IF('Time &amp; Penalties'!B28="","",'Time &amp; Penalties'!B28)</f>
        <v/>
      </c>
      <c r="C21" s="6" t="str">
        <f>IF('Time &amp; Penalties'!C28="","",'Time &amp; Penalties'!C28)</f>
        <v/>
      </c>
      <c r="D21" s="15"/>
      <c r="E21" s="15"/>
      <c r="F21" s="15"/>
      <c r="G21" s="15"/>
      <c r="H21" s="15"/>
      <c r="I21" s="15"/>
      <c r="J21" s="9" t="str">
        <f t="shared" si="0"/>
        <v/>
      </c>
      <c r="K21" s="16"/>
    </row>
    <row r="22" spans="1:11" x14ac:dyDescent="0.35">
      <c r="A22" s="10">
        <f>'Time &amp; Penalties'!A29</f>
        <v>18</v>
      </c>
      <c r="B22" s="6" t="str">
        <f>IF('Time &amp; Penalties'!B29="","",'Time &amp; Penalties'!B29)</f>
        <v/>
      </c>
      <c r="C22" s="6" t="str">
        <f>IF('Time &amp; Penalties'!C29="","",'Time &amp; Penalties'!C29)</f>
        <v/>
      </c>
      <c r="D22" s="15"/>
      <c r="E22" s="15"/>
      <c r="F22" s="15"/>
      <c r="G22" s="15"/>
      <c r="H22" s="15"/>
      <c r="I22" s="15"/>
      <c r="J22" s="9" t="str">
        <f t="shared" si="0"/>
        <v/>
      </c>
      <c r="K22" s="16"/>
    </row>
    <row r="23" spans="1:11" x14ac:dyDescent="0.35">
      <c r="A23" s="10">
        <f>'Time &amp; Penalties'!A30</f>
        <v>19</v>
      </c>
      <c r="B23" s="6" t="str">
        <f>IF('Time &amp; Penalties'!B30="","",'Time &amp; Penalties'!B30)</f>
        <v/>
      </c>
      <c r="C23" s="6" t="str">
        <f>IF('Time &amp; Penalties'!C30="","",'Time &amp; Penalties'!C30)</f>
        <v/>
      </c>
      <c r="D23" s="15"/>
      <c r="E23" s="15"/>
      <c r="F23" s="15"/>
      <c r="G23" s="15"/>
      <c r="H23" s="15"/>
      <c r="I23" s="15"/>
      <c r="J23" s="9" t="str">
        <f t="shared" si="0"/>
        <v/>
      </c>
      <c r="K23" s="16"/>
    </row>
    <row r="24" spans="1:11" x14ac:dyDescent="0.35">
      <c r="A24" s="10">
        <f>'Time &amp; Penalties'!A31</f>
        <v>20</v>
      </c>
      <c r="B24" s="6" t="str">
        <f>IF('Time &amp; Penalties'!B31="","",'Time &amp; Penalties'!B31)</f>
        <v/>
      </c>
      <c r="C24" s="6" t="str">
        <f>IF('Time &amp; Penalties'!C31="","",'Time &amp; Penalties'!C31)</f>
        <v/>
      </c>
      <c r="D24" s="15"/>
      <c r="E24" s="15"/>
      <c r="F24" s="15"/>
      <c r="G24" s="15"/>
      <c r="H24" s="15"/>
      <c r="I24" s="15"/>
      <c r="J24" s="9" t="str">
        <f t="shared" si="0"/>
        <v/>
      </c>
      <c r="K24" s="16"/>
    </row>
  </sheetData>
  <dataValidations count="4">
    <dataValidation type="decimal" showErrorMessage="1" error="Enter 0 to 20" sqref="D5:D24 F5:F24" xr:uid="{00000000-0002-0000-0500-000000000000}">
      <formula1>0</formula1>
      <formula2>20</formula2>
    </dataValidation>
    <dataValidation type="decimal" showErrorMessage="1" error="Enter 0 to 25" sqref="E5:E24" xr:uid="{00000000-0002-0000-0500-000001000000}">
      <formula1>0</formula1>
      <formula2>25</formula2>
    </dataValidation>
    <dataValidation type="decimal" showErrorMessage="1" error="Enter 0 to 15" sqref="G5:G24" xr:uid="{00000000-0002-0000-0500-000002000000}">
      <formula1>0</formula1>
      <formula2>15</formula2>
    </dataValidation>
    <dataValidation type="decimal" showErrorMessage="1" error="Enter 0 to 10" sqref="H5:I24" xr:uid="{00000000-0002-0000-0500-000003000000}">
      <formula1>0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Rubric</vt:lpstr>
      <vt:lpstr>Results</vt:lpstr>
      <vt:lpstr>Time &amp; Penalties</vt:lpstr>
      <vt:lpstr>Judge 1</vt:lpstr>
      <vt:lpstr>Judge 2</vt:lpstr>
      <vt:lpstr>Judge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sanidhay class 8th D roll no 6</cp:lastModifiedBy>
  <cp:revision>0</cp:revision>
  <dcterms:created xsi:type="dcterms:W3CDTF">2026-10-10T11:19:22Z</dcterms:created>
  <dcterms:modified xsi:type="dcterms:W3CDTF">2026-10-10T11:21:35Z</dcterms:modified>
  <dc:language>en-US</dc:language>
</cp:coreProperties>
</file>